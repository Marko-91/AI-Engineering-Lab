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mc:AlternateContent xmlns:mc="http://schemas.openxmlformats.org/markup-compatibility/2006">
    <mc:Choice Requires="x15">
      <x15ac:absPath xmlns:x15ac="http://schemas.microsoft.com/office/spreadsheetml/2010/11/ac" url="/Users/marko.stankovic/projects/private/AI-Engineering-Lab/curriculum/tracking/"/>
    </mc:Choice>
  </mc:AlternateContent>
  <xr:revisionPtr revIDLastSave="0" documentId="13_ncr:1_{96C246EB-F785-B64B-A317-4A6669249678}" xr6:coauthVersionLast="47" xr6:coauthVersionMax="47" xr10:uidLastSave="{00000000-0000-0000-0000-000000000000}"/>
  <bookViews>
    <workbookView xWindow="0" yWindow="660" windowWidth="30240" windowHeight="18980" activeTab="1" xr2:uid="{00000000-000D-0000-FFFF-FFFF00000000}"/>
  </bookViews>
  <sheets>
    <sheet name="Dashboard" sheetId="1" r:id="rId1"/>
    <sheet name="Week 01" sheetId="2" r:id="rId2"/>
    <sheet name="Week 02" sheetId="3" r:id="rId3"/>
    <sheet name="Week 03" sheetId="4" r:id="rId4"/>
    <sheet name="Week 04" sheetId="5" r:id="rId5"/>
    <sheet name="Week 05" sheetId="6" r:id="rId6"/>
    <sheet name="Week 06" sheetId="7" r:id="rId7"/>
    <sheet name="Week 07" sheetId="8" r:id="rId8"/>
    <sheet name="Week 08" sheetId="9" r:id="rId9"/>
    <sheet name="Week 09" sheetId="10" r:id="rId10"/>
    <sheet name="Week 10" sheetId="11" r:id="rId11"/>
    <sheet name="Week 11" sheetId="12" r:id="rId12"/>
    <sheet name="Week 12" sheetId="13" r:id="rId13"/>
    <sheet name="Week 13" sheetId="14" r:id="rId14"/>
    <sheet name="Week 14" sheetId="15" r:id="rId15"/>
    <sheet name="Week 15" sheetId="16" r:id="rId16"/>
    <sheet name="Week 16" sheetId="17" r:id="rId17"/>
    <sheet name="Week 17" sheetId="18" r:id="rId18"/>
    <sheet name="Week 18" sheetId="19" r:id="rId19"/>
    <sheet name="Week 19" sheetId="20" r:id="rId20"/>
    <sheet name="Week 20" sheetId="21" r:id="rId21"/>
    <sheet name="Week 21" sheetId="22" r:id="rId22"/>
    <sheet name="Week 22" sheetId="23" r:id="rId23"/>
    <sheet name="Week 23" sheetId="24" r:id="rId24"/>
    <sheet name="Week 24" sheetId="25" r:id="rId25"/>
    <sheet name="About" sheetId="26" r:id="rId2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25" l="1"/>
  <c r="B13" i="24"/>
  <c r="B13" i="23"/>
  <c r="B13" i="22"/>
  <c r="B13" i="21"/>
  <c r="B13" i="20"/>
  <c r="B13" i="19"/>
  <c r="B13" i="18"/>
  <c r="B13" i="17"/>
  <c r="B13" i="16"/>
  <c r="B13" i="15"/>
  <c r="B13" i="14"/>
  <c r="B13" i="13"/>
  <c r="B13" i="12"/>
  <c r="B13" i="11"/>
  <c r="B13" i="10"/>
  <c r="B13" i="9"/>
  <c r="B13" i="8"/>
  <c r="B13" i="7"/>
  <c r="B13" i="6"/>
  <c r="B13" i="5"/>
  <c r="B13" i="4"/>
  <c r="B13" i="3"/>
  <c r="B13" i="2"/>
  <c r="D8" i="1" s="1"/>
  <c r="C13" i="25" l="1"/>
  <c r="E31" i="1"/>
  <c r="D31" i="1"/>
  <c r="C13" i="24"/>
  <c r="E30" i="1"/>
  <c r="D30" i="1"/>
  <c r="C13" i="23"/>
  <c r="E29" i="1"/>
  <c r="D29" i="1"/>
  <c r="C13" i="22"/>
  <c r="E28" i="1"/>
  <c r="C43" i="1" s="1"/>
  <c r="D28" i="1"/>
  <c r="D27" i="1"/>
  <c r="C13" i="21"/>
  <c r="E27" i="1"/>
  <c r="D26" i="1"/>
  <c r="E26" i="1"/>
  <c r="C13" i="20"/>
  <c r="D25" i="1"/>
  <c r="C13" i="19"/>
  <c r="E25" i="1"/>
  <c r="D24" i="1"/>
  <c r="C13" i="18"/>
  <c r="E24" i="1"/>
  <c r="E23" i="1"/>
  <c r="D23" i="1"/>
  <c r="C13" i="17"/>
  <c r="E22" i="1"/>
  <c r="D22" i="1"/>
  <c r="C13" i="16"/>
  <c r="D21" i="1"/>
  <c r="C13" i="15"/>
  <c r="E21" i="1"/>
  <c r="C41" i="1" s="1"/>
  <c r="D20" i="1"/>
  <c r="C13" i="14"/>
  <c r="E20" i="1"/>
  <c r="C13" i="13"/>
  <c r="E19" i="1"/>
  <c r="C40" i="1" s="1"/>
  <c r="D19" i="1"/>
  <c r="E18" i="1"/>
  <c r="D18" i="1"/>
  <c r="C13" i="12"/>
  <c r="E17" i="1"/>
  <c r="D17" i="1"/>
  <c r="C13" i="11"/>
  <c r="E16" i="1"/>
  <c r="D16" i="1"/>
  <c r="C13" i="10"/>
  <c r="E15" i="1"/>
  <c r="D15" i="1"/>
  <c r="C13" i="9"/>
  <c r="C13" i="8"/>
  <c r="D14" i="1"/>
  <c r="E14" i="1"/>
  <c r="C13" i="7"/>
  <c r="D13" i="1"/>
  <c r="E13" i="1"/>
  <c r="C13" i="6"/>
  <c r="E12" i="1"/>
  <c r="D12" i="1"/>
  <c r="C13" i="5"/>
  <c r="D11" i="1"/>
  <c r="E11" i="1"/>
  <c r="C13" i="4"/>
  <c r="E10" i="1"/>
  <c r="D10" i="1"/>
  <c r="E9" i="1"/>
  <c r="C13" i="3"/>
  <c r="D9" i="1"/>
  <c r="E8" i="1"/>
  <c r="C13" i="2"/>
  <c r="C37" i="1" l="1"/>
  <c r="E33" i="1"/>
  <c r="C42" i="1"/>
  <c r="C39" i="1"/>
  <c r="C38" i="1"/>
</calcChain>
</file>

<file path=xl/sharedStrings.xml><?xml version="1.0" encoding="utf-8"?>
<sst xmlns="http://schemas.openxmlformats.org/spreadsheetml/2006/main" count="853" uniqueCount="384">
  <si>
    <t>AI Engineering Lab, 24-Week AI Engineering Program</t>
  </si>
  <si>
    <t>Find the Signal. Act with Intelligence. · by Zorost Intelligence (https://zorost.com)</t>
  </si>
  <si>
    <t>Learner name</t>
  </si>
  <si>
    <t>Start date</t>
  </si>
  <si>
    <t>Program start</t>
  </si>
  <si>
    <t>Target end (24 weeks later)</t>
  </si>
  <si>
    <t>Week</t>
  </si>
  <si>
    <t>Section</t>
  </si>
  <si>
    <t>Title</t>
  </si>
  <si>
    <t>Status</t>
  </si>
  <si>
    <t>% Complete</t>
  </si>
  <si>
    <t>Week 01</t>
  </si>
  <si>
    <t>Foundations</t>
  </si>
  <si>
    <t>Python Foundations &amp; the AI Engineering Landscape</t>
  </si>
  <si>
    <t>Week 02</t>
  </si>
  <si>
    <t>Data Engineering &amp; SQL for AI</t>
  </si>
  <si>
    <t>Week 03</t>
  </si>
  <si>
    <t>Machine Learning Fundamentals</t>
  </si>
  <si>
    <t>Week 04</t>
  </si>
  <si>
    <t>Deep Learning with PyTorch</t>
  </si>
  <si>
    <t>Week 05</t>
  </si>
  <si>
    <t>LLM Core</t>
  </si>
  <si>
    <t>How LLMs Work: Tokens to Transformers</t>
  </si>
  <si>
    <t>Week 06</t>
  </si>
  <si>
    <t>Prompt Engineering &amp; the Context Window</t>
  </si>
  <si>
    <t>Week 07</t>
  </si>
  <si>
    <t>RAG, Vector Search &amp; Knowledge Graphs</t>
  </si>
  <si>
    <t>Week 08</t>
  </si>
  <si>
    <t>Open Models &amp; Local Inference: GPUs, Ollama, llama.cpp</t>
  </si>
  <si>
    <t>Week 09</t>
  </si>
  <si>
    <t>Model Engineering</t>
  </si>
  <si>
    <t>Quantization &amp; Efficient Inference</t>
  </si>
  <si>
    <t>Week 10</t>
  </si>
  <si>
    <t>Fine-Tuning: LoRA, SFT &amp; DPO</t>
  </si>
  <si>
    <t>Week 11</t>
  </si>
  <si>
    <t>Evals &amp; Error Analysis for AI Systems</t>
  </si>
  <si>
    <t>Week 12</t>
  </si>
  <si>
    <t>Harnesses &amp; Loops</t>
  </si>
  <si>
    <t>Coding-Agent Harnesses: Claude Code, Cursor, OpenCode, DSH</t>
  </si>
  <si>
    <t>Week 13</t>
  </si>
  <si>
    <t>Agentic Coding Loops &amp; Spec-Driven Development</t>
  </si>
  <si>
    <t>Week 14</t>
  </si>
  <si>
    <t>Agents</t>
  </si>
  <si>
    <t>Agent Fundamentals: The Loop, Tools &amp; Memory</t>
  </si>
  <si>
    <t>Week 15</t>
  </si>
  <si>
    <t>Agent Frameworks: LangGraph &amp; the State-Graph Model</t>
  </si>
  <si>
    <t>Week 16</t>
  </si>
  <si>
    <t>Multi-Agent Systems &amp; MCP</t>
  </si>
  <si>
    <t>Week 17</t>
  </si>
  <si>
    <t>OpenClaw, Hermes &amp; Agent Operations</t>
  </si>
  <si>
    <t>Week 18</t>
  </si>
  <si>
    <t>Cloud AI Platforms</t>
  </si>
  <si>
    <t>Azure AI Foundry</t>
  </si>
  <si>
    <t>Week 19</t>
  </si>
  <si>
    <t>Google Vertex AI &amp; Gemini</t>
  </si>
  <si>
    <t>Week 20</t>
  </si>
  <si>
    <t>AWS Bedrock &amp; SageMaker AI</t>
  </si>
  <si>
    <t>Week 21</t>
  </si>
  <si>
    <t>Databricks Zero to Hero</t>
  </si>
  <si>
    <t>Databricks Day Zero: Unity Catalog &amp; the Lakehouse</t>
  </si>
  <si>
    <t>Week 22</t>
  </si>
  <si>
    <t>Databricks Data Engineering: PySpark, Streaming &amp; Lakeflow</t>
  </si>
  <si>
    <t>Week 23</t>
  </si>
  <si>
    <t>Databricks ML &amp; GenAI: Training, Serving, Genie</t>
  </si>
  <si>
    <t>Week 24</t>
  </si>
  <si>
    <t>Databricks Production: DABs, Governance &amp; the Capstone</t>
  </si>
  <si>
    <t>Overall completion</t>
  </si>
  <si>
    <t>Phase summary</t>
  </si>
  <si>
    <t>Weeks 1 to 4</t>
  </si>
  <si>
    <t>Python, data engineering, classical ML, and deep learning, taught the AI engineering way: every model ships with a metric, a split, and an error analysis.</t>
  </si>
  <si>
    <t>Weeks 5 to 8</t>
  </si>
  <si>
    <t>How LLMs actually work, from tokens and embeddings to attention and the KV cache, then the two engineering superpowers on top: prompt &amp; context-window engineering, and retrieval (RAG + knowledge graphs). Week 8 goes fully local.</t>
  </si>
  <si>
    <t>Weeks 9 to 11</t>
  </si>
  <si>
    <t>Make models cheaper and yours: quantization formats and serving engines, fine-tuning with LoRA/SFT/DPO, and the discipline that decides it all, evals and error analysis.</t>
  </si>
  <si>
    <t>Weeks 12 to 13</t>
  </si>
  <si>
    <t>Become dangerous with coding agents: Claude Code, Cursor, OpenCode, DeepSeek Harness, then run the three loops (agentic coding → developer feedback → external feedback) with a spec, a verifier, and a blast-radius rule.</t>
  </si>
  <si>
    <t>Weeks 14 to 17</t>
  </si>
  <si>
    <t>From a hand-written ReAct loop to LangGraph state graphs, multi-agent orchestration, and MCP, then OpenClaw as a personal assistant and agent operations.</t>
  </si>
  <si>
    <t>Weeks 18 to 20</t>
  </si>
  <si>
    <t>The same ZoroLogistics support agent, deployed three ways: Azure AI Foundry (Microsoft), Vertex AI + AI Studio (Google), Bedrock + SageMaker (AWS). Compare capabilities, governance, and cost, then learn how to pick.</t>
  </si>
  <si>
    <t>Weeks 21 to 24</t>
  </si>
  <si>
    <t>The full Zorost Databricks modernization playbook: Unity Catalog, Delta Lake medallion, DBSQL, PySpark, streaming, Lakeflow, MLflow, Mosaic AI, Genie, then DABs, CI/CD, governance, and FinOps, ending in the lakehouse capstone.</t>
  </si>
  <si>
    <t>Legend</t>
  </si>
  <si>
    <t>☐ Not started</t>
  </si>
  <si>
    <t>not started yet</t>
  </si>
  <si>
    <t>▶ In progress</t>
  </si>
  <si>
    <t>working on it</t>
  </si>
  <si>
    <t>✅ Done</t>
  </si>
  <si>
    <t>completed, pick this to tick it off ✅</t>
  </si>
  <si>
    <t>⏭ Skipped</t>
  </si>
  <si>
    <t>skipped deliberately (explain in Notes)</t>
  </si>
  <si>
    <t>Week 01, Python Foundations &amp; the AI Engineering Landscape</t>
  </si>
  <si>
    <t>Section: Foundations · Category: Python &amp; Environment · ZoroLogistics case study</t>
  </si>
  <si>
    <t>🎯 Use case: Generate the ZoroLogistics synthetic dataset (shipments, carriers, lanes) that every future week reuses.</t>
  </si>
  <si>
    <t>Day</t>
  </si>
  <si>
    <t>Task</t>
  </si>
  <si>
    <t>Notes</t>
  </si>
  <si>
    <t>Mon</t>
  </si>
  <si>
    <t>Set up VS Code, Python environment (uv or conda), and git; fork/clone the repo.</t>
  </si>
  <si>
    <t>Tue</t>
  </si>
  <si>
    <t>Complete the Python refresher exercises in the environment notebook.</t>
  </si>
  <si>
    <t>Wed</t>
  </si>
  <si>
    <t>Run the environment check notebook end-to-end (versions, imports, deterministic seed).</t>
  </si>
  <si>
    <t>Thu</t>
  </si>
  <si>
    <t>Build the ZoroLogistics data generator: shipments, carriers, lanes, deterministic seeds.</t>
  </si>
  <si>
    <t>Fri</t>
  </si>
  <si>
    <t>Use case: generate the 100k-row dataset, save to CSV/Parquet, commit it with a data dictionary.</t>
  </si>
  <si>
    <t>Sat</t>
  </si>
  <si>
    <t>Take the Week 1 quiz (quiz.md), pass with 8/10; record the score in Notes.</t>
  </si>
  <si>
    <t>Milestone</t>
  </si>
  <si>
    <t>Update the Excel tracker: Week 1 checked off; push your fork to GitHub.</t>
  </si>
  <si>
    <t>Week completion</t>
  </si>
  <si>
    <t>Deliverables: Working local environment (checklist notebook passes) · ZoroLogistics data generator (100k rows, seeded) · Data dictionary for the generated dataset</t>
  </si>
  <si>
    <t>Week 02, Data Engineering &amp; SQL for AI</t>
  </si>
  <si>
    <t>Section: Foundations · Category: Data &amp; SQL · ZoroLogistics case study</t>
  </si>
  <si>
    <t>🎯 Use case: Clean and profile the raw shipment dataset into an analytics-ready 'silver' table.</t>
  </si>
  <si>
    <t>Study data quality concepts; run the pandas refresher exercises.</t>
  </si>
  <si>
    <t>Run the pandas cleaning notebook; find and document 5 data issues in the generator output.</t>
  </si>
  <si>
    <t>Write SQL queries in DuckDB: on-time rate by carrier/lane/month, windows, top-lane analysis.</t>
  </si>
  <si>
    <t>Add a data validation suite (pandera) with at least 10 checks.</t>
  </si>
  <si>
    <t>Use case: deliver the cleaned silver dataset + profile report; document every cleaning decision.</t>
  </si>
  <si>
    <t>Take the Week 2 quiz (quiz.md), pass with 8/10; record the score in Notes.</t>
  </si>
  <si>
    <t>Update the Excel tracker; commit the silver pipeline script.</t>
  </si>
  <si>
    <t>Deliverables: Silver dataset + validation suite (10+ checks) · SQL analytics queries (on-time rate by carrier/lane/month) · Data profile report</t>
  </si>
  <si>
    <t>Week 03, Machine Learning Fundamentals</t>
  </si>
  <si>
    <t>Section: Foundations · Category: Classical ML · ZoroLogistics case study</t>
  </si>
  <si>
    <t>🎯 Use case: Baseline ETA (estimated time of arrival) regression and on-time classification from shipment features.</t>
  </si>
  <si>
    <t>Study supervised learning and the eval mindset: pick the metric before the model.</t>
  </si>
  <si>
    <t>Run the ETA regression baseline; log MAE/RMSE for 3 models in a comparison table.</t>
  </si>
  <si>
    <t>Implement a time-aware split and cross-validation; compare models fairly.</t>
  </si>
  <si>
    <t>On-time classification: precision/recall/F1, threshold tradeoff, confusion matrix.</t>
  </si>
  <si>
    <t>Use case: write the Week 3 model card (metric, split, top error source) and commit it.</t>
  </si>
  <si>
    <t>Take the Week 3 quiz (quiz.md), pass with 8/10; record the score in Notes.</t>
  </si>
  <si>
    <t>Update the Excel tracker; log all experiments to a JSON experiment log.</t>
  </si>
  <si>
    <t>Deliverables: ETA regression baseline with logged metrics · On-time classifier with threshold tradeoff analysis · Week 3 model card (metric, split, top error source)</t>
  </si>
  <si>
    <t>Week 04, Deep Learning with PyTorch</t>
  </si>
  <si>
    <t>Section: Foundations · Category: Deep Learning · ZoroLogistics case study</t>
  </si>
  <si>
    <t>🎯 Use case: A neural ETA model that beats the Week 3 baseline, with a first error analysis by carrier and lane.</t>
  </si>
  <si>
    <t>Study tensors, autograd, and the computation-graph mental model.</t>
  </si>
  <si>
    <t>Run the MLP notebook; verify loss curves; deliberately break one thing and diagnose it.</t>
  </si>
  <si>
    <t>Add dropout/weight decay; tune 3 hyperparameters using the validation split.</t>
  </si>
  <si>
    <t>Compare neural vs baseline on the test set; segment errors by carrier and lane.</t>
  </si>
  <si>
    <t>Use case: write the error-analysis note (biggest error cluster + hypothesis).</t>
  </si>
  <si>
    <t>Take the Week 4 quiz (quiz.md), pass with 8/10; record the score in Notes.</t>
  </si>
  <si>
    <t>Update the Excel tracker; commit model card v2.</t>
  </si>
  <si>
    <t>Deliverables: PyTorch MLP training notebook with learning curves · Neural vs baseline comparison on the test set · Error analysis note: biggest error cluster + hypothesis</t>
  </si>
  <si>
    <t>Week 05, How LLMs Work: Tokens to Transformers</t>
  </si>
  <si>
    <t>Section: LLM Core · Category: LLM Internals · ZoroLogistics case study</t>
  </si>
  <si>
    <t>🎯 Use case: Shipment-note token cost estimator plus embedding similarity search over commodity descriptions.</t>
  </si>
  <si>
    <t>Study tokenization and embeddings (knowledge-base 03).</t>
  </si>
  <si>
    <t>Tokenizer lab: BPE encode/decode and a token-cost estimator for the LLM API.</t>
  </si>
  <si>
    <t>Embeddings lab: similarity search over shipment commodity descriptions.</t>
  </si>
  <si>
    <t>Attention lab: implement scaled dot-product attention in NumPy; visualize the weights.</t>
  </si>
  <si>
    <t>Use case: build the context-window budget calculator (tokens per call vs window size).</t>
  </si>
  <si>
    <t>Take the Week 5 quiz (quiz.md), pass with 8/10; record the score in Notes.</t>
  </si>
  <si>
    <t>Update the Excel tracker; commit both labs.</t>
  </si>
  <si>
    <t>Deliverables: Tokenizer lab with cost estimator · Embedding similarity search over commodities · Context-window budget calculator</t>
  </si>
  <si>
    <t>Week 06, Prompt Engineering &amp; the Context Window</t>
  </si>
  <si>
    <t>Section: LLM Core · Category: Prompt &amp; Context · ZoroLogistics case study</t>
  </si>
  <si>
    <t>🎯 Use case: Extract bill-of-lading fields reliably with a prompt suite and per-field accuracy eval.</t>
  </si>
  <si>
    <t>Study prompt engineering and context engineering (knowledge-base 04).</t>
  </si>
  <si>
    <t>Build the BoL extraction prompt suite; run it against 20 synthetic documents.</t>
  </si>
  <si>
    <t>Add structured outputs and few-shot examples; improve per-field accuracy.</t>
  </si>
  <si>
    <t>Context engineering: budgets, compaction, caching. Measure tokens and latency.</t>
  </si>
  <si>
    <t>Use case: reach 90%+ field accuracy on the eval set; document the failure cases.</t>
  </si>
  <si>
    <t>Take the Week 6 quiz (quiz.md), pass with 8/10; record the score in Notes.</t>
  </si>
  <si>
    <t>Update the Excel tracker; commit the prompt suite and eval results.</t>
  </si>
  <si>
    <t>Deliverables: BoL extraction prompt suite + eval results · Structured-output pipeline · Context engineering measurements (tokens, latency, cache hits)</t>
  </si>
  <si>
    <t>Week 07, RAG, Vector Search &amp; Knowledge Graphs</t>
  </si>
  <si>
    <t>Section: LLM Core · Category: Retrieval &amp; Graphs · ZoroLogistics case study</t>
  </si>
  <si>
    <t>🎯 Use case: A shipping-policy Q&amp;A bot (RAG with citations) plus a carrier-lane-port knowledge graph.</t>
  </si>
  <si>
    <t>Study retrieval fundamentals (knowledge-base 05).</t>
  </si>
  <si>
    <t>Chunk and embed the policy corpus; build a vector index; measure baseline retrieval accuracy.</t>
  </si>
  <si>
    <t>Add hybrid search and reranking; cite sources in answers; measure groundedness.</t>
  </si>
  <si>
    <t>Build the carrier-lane-port graph in Neo4j; query shortest and cheapest routes.</t>
  </si>
  <si>
    <t>Use case: the RAG bot answers 10 unseen questions with citations; log retrieval misses.</t>
  </si>
  <si>
    <t>Take the Week 7 quiz (quiz.md), pass with 8/10; record the score in Notes.</t>
  </si>
  <si>
    <t>Update the Excel tracker; commit RAG and graph labs.</t>
  </si>
  <si>
    <t>Deliverables: RAG policy bot with citations · Retrieval accuracy and groundedness measurements · Carrier-lane-port graph with route queries</t>
  </si>
  <si>
    <t>Week 08, Open Models &amp; Local Inference: GPUs, Ollama, llama.cpp</t>
  </si>
  <si>
    <t>Section: LLM Core · Category: Local Models &amp; GPUs · ZoroLogistics case study</t>
  </si>
  <si>
    <t>🎯 Use case: Run a local model to triage support tickets offline, plus a VRAM sizing calculator for model choice.</t>
  </si>
  <si>
    <t>Study the model landscape: open vs closed, licenses, families (knowledge-base 08).</t>
  </si>
  <si>
    <t>Install Ollama; pull a small model; run chat and structured outputs locally.</t>
  </si>
  <si>
    <t>Try llama.cpp and MLX; compare tokens/sec across backends in a table.</t>
  </si>
  <si>
    <t>GPU setup check: CUDA/MPS/ROCm; benchmark with a small script.</t>
  </si>
  <si>
    <t>Use case: ticket triage with a local model + the VRAM-based model picker.</t>
  </si>
  <si>
    <t>Take the Week 8 quiz (quiz.md), pass with 8/10; record the score in Notes.</t>
  </si>
  <si>
    <t>Update the Excel tracker; commit the benchmark table and picker.</t>
  </si>
  <si>
    <t>Deliverables: Local model playground notebook · Backend benchmark table (tokens/sec) · VRAM-based model picker</t>
  </si>
  <si>
    <t>Week 09, Quantization &amp; Efficient Inference</t>
  </si>
  <si>
    <t>Section: Model Engineering · Category: Quantization &amp; Serving · ZoroLogistics case study</t>
  </si>
  <si>
    <t>🎯 Use case: Quantize the triage model, serve it with vLLM, and publish a quality-vs-speed report.</t>
  </si>
  <si>
    <t>Study numeric formats and quantization methods (knowledge-base 06).</t>
  </si>
  <si>
    <t>Quantize a 7B or 8B model with bitsandbytes; measure quality on the triage eval.</t>
  </si>
  <si>
    <t>GGUF sweep with llama.cpp: Q4/Q5/Q8; record perplexity and speed.</t>
  </si>
  <si>
    <t>Serve with vLLM (OpenAI-compatible API); benchmark latency and throughput.</t>
  </si>
  <si>
    <t>Use case: publish the quality-vs-cost report; pick the production quantization.</t>
  </si>
  <si>
    <t>Take the Week 9 quiz (quiz.md), pass with 8/10; record the score in Notes.</t>
  </si>
  <si>
    <t>Update the Excel tracker; commit the report.</t>
  </si>
  <si>
    <t>Deliverables: Quantization sweep with quality measurements · vLLM serving + benchmark notebook · Quality-vs-cost report with a production recommendation</t>
  </si>
  <si>
    <t>Week 10, Fine-Tuning: LoRA, SFT &amp; DPO</t>
  </si>
  <si>
    <t>Section: Model Engineering · Category: Fine-tuning · ZoroLogistics case study</t>
  </si>
  <si>
    <t>🎯 Use case: Fine-tune a small open model on ZoroLogistics support tone and bill-of-lading entity extraction.</t>
  </si>
  <si>
    <t>Study fine-tuning theory and the selection order (knowledge-base 06).</t>
  </si>
  <si>
    <t>Build the SFT dataset (instructions + responses) from the Week 6 corpus.</t>
  </si>
  <si>
    <t>Train LoRA with TRL/Unsloth (Colab free tier or local GPU); log loss curves.</t>
  </si>
  <si>
    <t>Create preference pairs; run a small DPO step; compare before/after on the eval.</t>
  </si>
  <si>
    <t>Use case: publish the before/after eval table; decide deploy vs iterate.</t>
  </si>
  <si>
    <t>Take the Week 10 quiz (quiz.md), pass with 8/10; record the score in Notes.</t>
  </si>
  <si>
    <t>Update the Excel tracker; commit the adapter and eval results.</t>
  </si>
  <si>
    <t>Deliverables: SFT dataset built from the Week 6 corpus · LoRA adapter + training logs · Before/after eval table and a deploy/no-deploy decision</t>
  </si>
  <si>
    <t>Week 11, Evals &amp; Error Analysis for AI Systems</t>
  </si>
  <si>
    <t>Section: Model Engineering · Category: Evaluation · ZoroLogistics case study</t>
  </si>
  <si>
    <t>🎯 Use case: Build ZoroEval, the reusable eval harness that gates every ZoroLogistics AI artifact.</t>
  </si>
  <si>
    <t>Study evals and error analysis (knowledge-base 07 + Ng's letters).</t>
  </si>
  <si>
    <t>Define golden eval sets for extraction, RAG, and triage; implement LLM-as-judge with a rubric.</t>
  </si>
  <si>
    <t>Run the judges; measure judge agreement; calibrate the rubric.</t>
  </si>
  <si>
    <t>Error analysis: cluster failures from Weeks 6 to 10 artifacts; pick the top fix.</t>
  </si>
  <si>
    <t>Use case: ZoroEval v1 gates one artifact in a CI-style script; document the loop.</t>
  </si>
  <si>
    <t>Take the Week 11 quiz (quiz.md), pass with 8/10; record the score in Notes.</t>
  </si>
  <si>
    <t>Update the Excel tracker; commit ZoroEval.</t>
  </si>
  <si>
    <t>Deliverables: Golden eval sets for extraction, RAG, and triage · LLM-as-judge with a calibrated rubric · ZoroEval harness + CI-style gate script</t>
  </si>
  <si>
    <t>Week 12, Coding-Agent Harnesses: Claude Code, Cursor, OpenCode, DSH</t>
  </si>
  <si>
    <t>Section: Harnesses &amp; Loops · Category: Harnesses · ZoroLogistics case study</t>
  </si>
  <si>
    <t>🎯 Use case: Build the ZoroLogistics ETA CLI (query tool) entirely with a coding agent from a written spec.</t>
  </si>
  <si>
    <t>Install and authenticate 2 harnesses (Claude Code + OpenCode or DSH); read the skill guides.</t>
  </si>
  <si>
    <t>Write SPEC.md for the ETA CLI: user, constraints, one refused tradeoff, test plan.</t>
  </si>
  <si>
    <t>Drive the agent to build the CLI; run the tests; iterate until green.</t>
  </si>
  <si>
    <t>Repeat the same task in a second harness; compare plans, cost, and code quality.</t>
  </si>
  <si>
    <t>Use case: ship the CLI; write the 1-page harness comparison for your team.</t>
  </si>
  <si>
    <t>Take the Week 12 quiz (quiz.md), pass with 8/10; record the score in Notes.</t>
  </si>
  <si>
    <t>Update the Excel tracker; commit the CLI and comparison.</t>
  </si>
  <si>
    <t>Deliverables: ETA CLI built agentically, with tests green · Harness setup + comparison notebook · 1-page harness comparison write-up</t>
  </si>
  <si>
    <t>Week 13, Agentic Coding Loops &amp; Spec-Driven Development</t>
  </si>
  <si>
    <t>Section: Harnesses &amp; Loops · Category: Loops &amp; Specs · ZoroLogistics case study</t>
  </si>
  <si>
    <t>🎯 Use case: Ship the ZoroLogistics Support Bot MVP through the full three-loop cycle with evals closing every loop.</t>
  </si>
  <si>
    <t>Study the three loops and verifier patterns (knowledge-base 01).</t>
  </si>
  <si>
    <t>Spec the support bot MVP; define the verifier (eval suite + unit tests).</t>
  </si>
  <si>
    <t>Agentic loop session: build → test → fix until the verifier passes; log the loop.</t>
  </si>
  <si>
    <t>Developer loop: review with fresh eyes, update the spec, add missed edge cases.</t>
  </si>
  <si>
    <t>Use case: external loop. Have someone real use the bot; file issues; update spec + evals.</t>
  </si>
  <si>
    <t>Take the Week 13 quiz (quiz.md), pass with 8/10; record the score in Notes.</t>
  </si>
  <si>
    <t>Update the Excel tracker; commit the MVP and loop log.</t>
  </si>
  <si>
    <t>Deliverables: Support bot MVP with a green verifier (unit tests + eval) · Loop log (agentic/developer/external cycles) · Spec updates driven by feedback</t>
  </si>
  <si>
    <t>Week 14, Agent Fundamentals: The Loop, Tools &amp; Memory</t>
  </si>
  <si>
    <t>Section: Agents · Category: Agent Core · ZoroLogistics case study</t>
  </si>
  <si>
    <t>🎯 Use case: Build the shipment-tracking agent from scratch: lookup, calculator, and web tools.</t>
  </si>
  <si>
    <t>Study the agent loop and ReAct (knowledge-base 10).</t>
  </si>
  <si>
    <t>Implement the tool-calling loop by hand; wire 2 tools (track shipment, convert units).</t>
  </si>
  <si>
    <t>Add planning and reflection; log every step: the trace is your debugger.</t>
  </si>
  <si>
    <t>Add guardrails: refusal, max steps, cost cap; test adversarial inputs.</t>
  </si>
  <si>
    <t>Use case: the agent solves 10 unseen scenarios; publish the trace log.</t>
  </si>
  <si>
    <t>Take the Week 14 quiz (quiz.md), pass with 8/10; record the score in Notes.</t>
  </si>
  <si>
    <t>Update the Excel tracker; commit the agent and traces.</t>
  </si>
  <si>
    <t>Deliverables: Hand-written agent with 3+ tools · Trace log of every run · Guardrail tests (refusal, max steps, cost cap)</t>
  </si>
  <si>
    <t>Week 15, Agent Frameworks: LangGraph &amp; the State-Graph Model</t>
  </si>
  <si>
    <t>Section: Agents · Category: Frameworks · ZoroLogistics case study</t>
  </si>
  <si>
    <t>🎯 Use case: Re-implement the support agent in LangGraph with a human approval step for refunds.</t>
  </si>
  <si>
    <t>Study graph-based agent design (knowledge-base 10 + LangGraph docs).</t>
  </si>
  <si>
    <t>Port the Week 14 agent to LangGraph; visualize the graph.</t>
  </si>
  <si>
    <t>Add checkpoints and resume; crash mid-run and recover.</t>
  </si>
  <si>
    <t>Add the human-in-the-loop interrupt for refunds over $500.</t>
  </si>
  <si>
    <t>Use case: end-to-end run with approval; record latency and tokens per node.</t>
  </si>
  <si>
    <t>Take the Week 15 quiz (quiz.md), pass with 8/10; record the score in Notes.</t>
  </si>
  <si>
    <t>Update the Excel tracker; commit the graph agent.</t>
  </si>
  <si>
    <t>Deliverables: LangGraph support agent with visualized graph · Checkpoint/resume demonstration · Human-in-the-loop refund approval flow</t>
  </si>
  <si>
    <t>Week 16, Multi-Agent Systems &amp; MCP</t>
  </si>
  <si>
    <t>Section: Agents · Category: Multi-Agent &amp; Protocols · ZoroLogistics case study</t>
  </si>
  <si>
    <t>🎯 Use case: A support triage team: router + specialists (tracking, refunds, docs) over MCP tools.</t>
  </si>
  <si>
    <t>Study orchestration patterns and MCP (knowledge-base 10/11).</t>
  </si>
  <si>
    <t>Build an MCP server exposing ZoroLogistics tools; test with an MCP inspector.</t>
  </si>
  <si>
    <t>Build the multi-agent triage team (supervisor + 3 specialists).</t>
  </si>
  <si>
    <t>A/B test: multi-agent vs single agent on the same 10 tasks; measure quality and cost.</t>
  </si>
  <si>
    <t>Use case: publish the A/B report; justify your architecture decision.</t>
  </si>
  <si>
    <t>Take the Week 16 quiz (quiz.md), pass with 8/10; record the score in Notes.</t>
  </si>
  <si>
    <t>Update the Excel tracker; commit the team and the MCP server.</t>
  </si>
  <si>
    <t>Deliverables: MCP server exposing ZoroLogistics tools · Multi-agent triage team · A/B report: multi-agent vs single agent</t>
  </si>
  <si>
    <t>Week 17, OpenClaw, Hermes &amp; Agent Operations</t>
  </si>
  <si>
    <t>Section: Agents · Category: Personal Agents &amp; Ops · ZoroLogistics case study</t>
  </si>
  <si>
    <t>🎯 Use case: Deploy a personal ZoroLab assistant (OpenClaw) wired to your MCP server, driven by a Hermes-class model.</t>
  </si>
  <si>
    <t>Study OpenClaw and Hermes (reference/agents/ guides + knowledge-base 10).</t>
  </si>
  <si>
    <t>Install and configure OpenClaw locally; connect a channel (WebChat or Telegram).</t>
  </si>
  <si>
    <t>Write 2 OpenClaw skills; wire the Week 16 MCP server; test the context loop.</t>
  </si>
  <si>
    <t>Swap in a Hermes-class model via Ollama; compare assistant quality.</t>
  </si>
  <si>
    <t>Use case: add tracing and cost tracking to the assistant; publish the ops runbook.</t>
  </si>
  <si>
    <t>Take the Week 17 quiz (quiz.md), pass with 8/10; record the score in Notes.</t>
  </si>
  <si>
    <t>Update the Excel tracker; commit skills and the runbook.</t>
  </si>
  <si>
    <t>Deliverables: Working OpenClaw installation with 2 custom skills · MCP integration with the Week 16 server · Agent ops runbook (tracing + cost)</t>
  </si>
  <si>
    <t>Week 18, Azure AI Foundry</t>
  </si>
  <si>
    <t>Section: Cloud AI Platforms · Category: Microsoft · ZoroLogistics case study</t>
  </si>
  <si>
    <t>🎯 Use case: Deploy the support agent to Foundry with online evaluation and gateway rate limits.</t>
  </si>
  <si>
    <t>Set up the Azure subscription and AI Foundry hub/project (free tier).</t>
  </si>
  <si>
    <t>Deploy a serverless model endpoint; call it from the Python SDK and OpenAI SDK.</t>
  </si>
  <si>
    <t>Create the support agent in Foundry with tools; test in the playground.</t>
  </si>
  <si>
    <t>Run an online evaluation batch; read the trace; fix the worst failure.</t>
  </si>
  <si>
    <t>Use case: put the agent behind the AI Gateway (rate limit + content safety); publish cost.</t>
  </si>
  <si>
    <t>Take the Week 18 quiz (quiz.md), pass with 8/10; record the score in Notes.</t>
  </si>
  <si>
    <t>Update the Excel tracker; commit the Foundry deployment guide.</t>
  </si>
  <si>
    <t>Deliverables: Serverless endpoint callable from Python · Foundry agent with tools + evaluation trace · Gateway-governed endpoint with documented cost</t>
  </si>
  <si>
    <t>Week 19, Google Vertex AI &amp; Gemini</t>
  </si>
  <si>
    <t>Section: Cloud AI Platforms · Category: Google · ZoroLogistics case study</t>
  </si>
  <si>
    <t>🎯 Use case: A multimodal bill-of-lading pipeline: Gemini OCR → structured JSON → BigQuery table.</t>
  </si>
  <si>
    <t>Set up Google Cloud and AI Studio; get an API key; check quotas.</t>
  </si>
  <si>
    <t>Gemini multimodal lab: BoL images → structured JSON; measure accuracy.</t>
  </si>
  <si>
    <t>Recreate the support agent with ADK/Agent Engine; compare with the Foundry version.</t>
  </si>
  <si>
    <t>Run a Vertex evaluation on a golden set; log results to BigQuery.</t>
  </si>
  <si>
    <t>Use case: end-to-end pipeline (images → clean table); publish cost per document.</t>
  </si>
  <si>
    <t>Take the Week 19 quiz (quiz.md), pass with 8/10; record the score in Notes.</t>
  </si>
  <si>
    <t>Update the Excel tracker; commit the Vertex guide.</t>
  </si>
  <si>
    <t>Deliverables: Multimodal OCR notebook with accuracy measurement · Support agent rebuilt with ADK/Agent Engine · End-to-end pipeline with cost per document</t>
  </si>
  <si>
    <t>Week 20, AWS Bedrock &amp; SageMaker AI</t>
  </si>
  <si>
    <t>Section: Cloud AI Platforms · Category: AWS · ZoroLogistics case study</t>
  </si>
  <si>
    <t>🎯 Use case: A Bedrock RAG support agent with Guardrails, plus the Great Platform Comparison matrix.</t>
  </si>
  <si>
    <t>Set up the AWS account and IAM least-privilege role; enable Bedrock models.</t>
  </si>
  <si>
    <t>Converse API lab: run the Week 6 prompt suite across Bedrock models.</t>
  </si>
  <si>
    <t>Build a Knowledge Base (RAG) for shipping policies; query with citations.</t>
  </si>
  <si>
    <t>Create a Bedrock Agent + Guardrails; test blocked prompts.</t>
  </si>
  <si>
    <t>Use case: publish the 3-cloud comparison matrix (Foundry vs Vertex vs Bedrock) with cost.</t>
  </si>
  <si>
    <t>Take the Week 20 quiz (quiz.md), pass with 8/10; record the score in Notes.</t>
  </si>
  <si>
    <t>Update the Excel tracker; commit the AWS guide and matrix.</t>
  </si>
  <si>
    <t>Deliverables: Converse API prompt-suite run across Bedrock models · Knowledge Base RAG with citations · Bedrock Agent + Guardrails; three-cloud comparison matrix</t>
  </si>
  <si>
    <t>Week 21, Databricks Day Zero: Unity Catalog &amp; the Lakehouse</t>
  </si>
  <si>
    <t>Section: Databricks Zero to Hero · Category: Platform &amp; Data · ZoroLogistics case study</t>
  </si>
  <si>
    <t>🎯 Use case: Stand up the ZoroLogistics lakehouse: bronze → silver → gold entirely in SQL.</t>
  </si>
  <si>
    <t>Create the Databricks account/workspace (free trial); tour the UI.</t>
  </si>
  <si>
    <t>Unity Catalog lab: create catalog/schema/volume; load CSV data; grant rights.</t>
  </si>
  <si>
    <t>Delta Lake lab: create tables, time travel, VACUUM, OPTIMIZE, liquid clustering.</t>
  </si>
  <si>
    <t>Medallion in SQL: bronze raw → silver clean → gold aggregates for shipments.</t>
  </si>
  <si>
    <t>Use case: governed silver/gold tables with lineage; build a first AI/BI dashboard.</t>
  </si>
  <si>
    <t>Take the Week 21 quiz (quiz.md), pass with 8/10; record the score in Notes.</t>
  </si>
  <si>
    <t>Update the Excel tracker; commit the SQL notebooks.</t>
  </si>
  <si>
    <t>Deliverables: Unity Catalog catalog/schema/volume with grants · Delta tables with time-travel demo · Silver/gold medallion tables + first AI/BI dashboard</t>
  </si>
  <si>
    <t>Week 22, Databricks Data Engineering: PySpark, Streaming &amp; Lakeflow</t>
  </si>
  <si>
    <t>Section: Databricks Zero to Hero · Category: Pipelines · ZoroLogistics case study</t>
  </si>
  <si>
    <t>🎯 Use case: A streaming pipeline: live shipment events → validated silver → on-time KPIs.</t>
  </si>
  <si>
    <t>PySpark lab: transform shipment data with DataFrames; compare with SQL.</t>
  </si>
  <si>
    <t>Write a DLT pipeline in Python (or SQL) with expectations on data quality.</t>
  </si>
  <si>
    <t>Add a streaming table for live shipment events (Auto Loader/streaming source).</t>
  </si>
  <si>
    <t>Create a Lakeflow Job: schedule and orchestrate the pipeline; check runs and lineage.</t>
  </si>
  <si>
    <t>Use case: the streaming KPI pipeline passes quality gates; publish a monitoring query.</t>
  </si>
  <si>
    <t>Take the Week 22 quiz (quiz.md), pass with 8/10; record the score in Notes.</t>
  </si>
  <si>
    <t>Update the Excel tracker; commit the pipeline code.</t>
  </si>
  <si>
    <t>Deliverables: PySpark transformation notebook · DLT pipeline with expectations (data quality gates) · Scheduled Lakeflow Job + monitoring query</t>
  </si>
  <si>
    <t>Week 23, Databricks ML &amp; GenAI: Training, Serving, Genie</t>
  </si>
  <si>
    <t>Section: Databricks Zero to Hero · Category: ML &amp; GenAI · ZoroLogistics case study</t>
  </si>
  <si>
    <t>🎯 Use case: A point-in-time ETA model + RAG over shipping docs + a Genie space for ops analysts.</t>
  </si>
  <si>
    <t>MLflow + feature tables: log a baseline; build point-in-time features.</t>
  </si>
  <si>
    <t>Train the ETA model (XGBoost or PyTorch); register it in MLflow; compare challenger.</t>
  </si>
  <si>
    <t>Create the serving endpoint + AI Gateway rate limit; call from Python.</t>
  </si>
  <si>
    <t>Vector Search: index policy docs; build the RAG chain with ai_query.</t>
  </si>
  <si>
    <t>Use case: Genie space on the gold tables; verify its SQL; publish it.</t>
  </si>
  <si>
    <t>Take the Week 23 quiz (quiz.md), pass with 8/10; record the score in Notes.</t>
  </si>
  <si>
    <t>Update the Excel tracker; commit the ML assets.</t>
  </si>
  <si>
    <t>Deliverables: Registered ETA model with point-in-time features · Serving endpoint behind the AI Gateway · Vector Search RAG + Genie space with verified answers</t>
  </si>
  <si>
    <t>Week 24, Databricks Production: DABs, Governance &amp; the Capstone</t>
  </si>
  <si>
    <t>Section: Databricks Zero to Hero · Category: Production &amp; Capstone · ZoroLogistics case study</t>
  </si>
  <si>
    <t>🎯 Use case: Capstone: ZoroLogistics Lakehouse Intelligence, deploying the entire Weeks 21 to 23 stack via DABs.</t>
  </si>
  <si>
    <t>Bundle the Weeks 22 to 23 assets into a DAB; validate and deploy with the CLI.</t>
  </si>
  <si>
    <t>Add CI/CD: GitHub Actions validates and deploys the bundle.</t>
  </si>
  <si>
    <t>Governance: row filters + column masks + lineage review; write an audit query.</t>
  </si>
  <si>
    <t>FinOps: billing system-table dashboard; find one cost win; document it.</t>
  </si>
  <si>
    <t>Use case: capstone demo end-to-end + graduation checklist; publish your portfolio.</t>
  </si>
  <si>
    <t>Take the Week 24 quiz (quiz.md), pass with 8/10; record the score in Notes.</t>
  </si>
  <si>
    <t>Update the Excel tracker: Week 24 done, program complete.</t>
  </si>
  <si>
    <t>Deliverables: DAB deployable end-to-end (pipeline + model + dashboard) · CI/CD workflow that validates and deploys · Governance + FinOps write-up; graduation checklist</t>
  </si>
  <si>
    <t>AI Engineering Lab, Progress Tracker</t>
  </si>
  <si>
    <t>How to use this workbook</t>
  </si>
  <si>
    <t>1. Fill in your name and start date on the Dashboard sheet.</t>
  </si>
  <si>
    <t>2. Each week has its own sheet (Week 01 … Week 24) with the week's checklist:</t>
  </si>
  <si>
    <t xml:space="preserve"> study, notebook, and use-case tasks, one line per program day.</t>
  </si>
  <si>
    <t>3. Set a task's Status cell (dropdown) to ✅ Done when you finish it. The week's</t>
  </si>
  <si>
    <t xml:space="preserve"> completion % and the in-cell progress bar update automatically.</t>
  </si>
  <si>
    <t>4. The Dashboard aggregates every week: status, % bars, phase averages, and a</t>
  </si>
  <si>
    <t xml:space="preserve"> progress chart. Tick all six tasks in a week to mark it ✅ Complete.</t>
  </si>
  <si>
    <t>Statuses</t>
  </si>
  <si>
    <t>☐ Not started · ▶ In progress · ✅ Done · ⏭ Skipped</t>
  </si>
  <si>
    <t>Skipped tasks count against the week %, use Notes to say why.</t>
  </si>
  <si>
    <t>Works in: Microsoft Excel, Google Sheets (File → Import), LibreOffice Calc.</t>
  </si>
  <si>
    <t>The workbook is generated from curriculum/manifest.json by</t>
  </si>
  <si>
    <t>scripts/build_tracker.py. Edit the manifest, never the xlsx by hand.</t>
  </si>
  <si>
    <t>© 2026 Zorost Intelligence LLC · https://zorost.com</t>
  </si>
  <si>
    <t>Marko</t>
  </si>
  <si>
    <t>15.Sept.2026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</si>
</sst>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i/>
      <sz val="11"/>
      <color rgb="FFFFFFFF"/>
      <name val="Calibri"/>
    </font>
    <font>
      <b/>
      <sz val="11"/>
      <color rgb="FF1A1A1A"/>
      <name val="Calibri"/>
    </font>
    <font>
      <b/>
      <sz val="11"/>
      <color rgb="FFFFFFFF"/>
      <name val="Calibri"/>
    </font>
    <font>
      <sz val="11"/>
      <color rgb="FF1A1A1A"/>
      <name val="Calibri"/>
    </font>
    <font>
      <sz val="10"/>
      <color rgb="FF4A4A4A"/>
      <name val="Calibri"/>
    </font>
    <font>
      <b/>
      <sz val="12"/>
      <color rgb="FF1E6B34"/>
      <name val="Calibri"/>
    </font>
    <font>
      <b/>
      <sz val="13"/>
      <color rgb="FFFFFFFF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F1B2D"/>
      </patternFill>
    </fill>
    <fill>
      <patternFill patternType="solid">
        <fgColor rgb="FFF5B301"/>
      </patternFill>
    </fill>
    <fill>
      <patternFill patternType="solid">
        <fgColor rgb="FFF7F8FA"/>
      </patternFill>
    </fill>
    <fill>
      <patternFill patternType="solid">
        <fgColor rgb="FFFFF2CC"/>
      </patternFill>
    </fill>
    <fill>
      <patternFill patternType="solid">
        <fgColor rgb="FFC6EFCE"/>
      </patternFill>
    </fill>
    <fill>
      <patternFill patternType="solid">
        <fgColor rgb="FFE7E6E6"/>
      </patternFill>
    </fill>
  </fills>
  <borders count="2">
    <border>
      <left/>
      <right/>
      <top/>
      <bottom/>
      <diagonal/>
    </border>
    <border>
      <left style="thin">
        <color rgb="FFD9DEE8"/>
      </left>
      <right style="thin">
        <color rgb="FFD9DEE8"/>
      </right>
      <top style="thin">
        <color rgb="FFD9DEE8"/>
      </top>
      <bottom style="thin">
        <color rgb="FFD9DEE8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0" xfId="0" applyFont="1" applyFill="1"/>
    <xf numFmtId="0" fontId="3" fillId="0" borderId="0" xfId="0" applyFont="1"/>
    <xf numFmtId="0" fontId="0" fillId="0" borderId="1" xfId="0" applyBorder="1"/>
    <xf numFmtId="0" fontId="6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9" fontId="5" fillId="0" borderId="1" xfId="0" applyNumberFormat="1" applyFont="1" applyBorder="1" applyAlignment="1">
      <alignment horizontal="center" vertical="center" wrapText="1"/>
    </xf>
    <xf numFmtId="9" fontId="7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/>
    <xf numFmtId="0" fontId="6" fillId="0" borderId="1" xfId="0" applyFont="1" applyBorder="1"/>
    <xf numFmtId="9" fontId="5" fillId="0" borderId="1" xfId="0" applyNumberFormat="1" applyFont="1" applyBorder="1"/>
    <xf numFmtId="0" fontId="5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9" fontId="3" fillId="0" borderId="1" xfId="0" applyNumberFormat="1" applyFont="1" applyBorder="1" applyAlignment="1">
      <alignment horizontal="center" vertical="center" wrapText="1"/>
    </xf>
    <xf numFmtId="0" fontId="4" fillId="2" borderId="0" xfId="0" applyFont="1" applyFill="1"/>
    <xf numFmtId="0" fontId="5" fillId="0" borderId="0" xfId="0" applyFont="1"/>
    <xf numFmtId="0" fontId="2" fillId="2" borderId="0" xfId="0" applyFont="1" applyFill="1"/>
    <xf numFmtId="0" fontId="0" fillId="0" borderId="0" xfId="0"/>
    <xf numFmtId="0" fontId="6" fillId="0" borderId="0" xfId="0" applyFont="1"/>
    <xf numFmtId="0" fontId="1" fillId="2" borderId="0" xfId="0" applyFont="1" applyFill="1"/>
    <xf numFmtId="0" fontId="8" fillId="2" borderId="0" xfId="0" applyFont="1" applyFill="1"/>
    <xf numFmtId="0" fontId="2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3" fillId="3" borderId="0" xfId="0" applyFont="1" applyFill="1" applyAlignment="1">
      <alignment horizontal="left" vertical="center" wrapText="1"/>
    </xf>
  </cellXfs>
  <cellStyles count="1">
    <cellStyle name="Normal" xfId="0" builtinId="0"/>
  </cellStyles>
  <dxfs count="72">
    <dxf>
      <font>
        <color rgb="FF595959"/>
      </font>
      <fill>
        <patternFill patternType="solid">
          <fgColor rgb="FFE7E6E6"/>
        </patternFill>
      </fill>
    </dxf>
    <dxf>
      <font>
        <color rgb="FF8A6D00"/>
      </font>
      <fill>
        <patternFill patternType="solid">
          <fgColor rgb="FFFFF2CC"/>
        </patternFill>
      </fill>
    </dxf>
    <dxf>
      <font>
        <color rgb="FF1E6B34"/>
      </font>
      <fill>
        <patternFill patternType="solid">
          <fgColor rgb="FFC6EFCE"/>
        </patternFill>
      </fill>
    </dxf>
    <dxf>
      <font>
        <color rgb="FF595959"/>
      </font>
      <fill>
        <patternFill patternType="solid">
          <fgColor rgb="FFE7E6E6"/>
        </patternFill>
      </fill>
    </dxf>
    <dxf>
      <font>
        <color rgb="FF8A6D00"/>
      </font>
      <fill>
        <patternFill patternType="solid">
          <fgColor rgb="FFFFF2CC"/>
        </patternFill>
      </fill>
    </dxf>
    <dxf>
      <font>
        <color rgb="FF1E6B34"/>
      </font>
      <fill>
        <patternFill patternType="solid">
          <fgColor rgb="FFC6EFCE"/>
        </patternFill>
      </fill>
    </dxf>
    <dxf>
      <font>
        <color rgb="FF595959"/>
      </font>
      <fill>
        <patternFill patternType="solid">
          <fgColor rgb="FFE7E6E6"/>
        </patternFill>
      </fill>
    </dxf>
    <dxf>
      <font>
        <color rgb="FF8A6D00"/>
      </font>
      <fill>
        <patternFill patternType="solid">
          <fgColor rgb="FFFFF2CC"/>
        </patternFill>
      </fill>
    </dxf>
    <dxf>
      <font>
        <color rgb="FF1E6B34"/>
      </font>
      <fill>
        <patternFill patternType="solid">
          <fgColor rgb="FFC6EFCE"/>
        </patternFill>
      </fill>
    </dxf>
    <dxf>
      <font>
        <color rgb="FF595959"/>
      </font>
      <fill>
        <patternFill patternType="solid">
          <fgColor rgb="FFE7E6E6"/>
        </patternFill>
      </fill>
    </dxf>
    <dxf>
      <font>
        <color rgb="FF8A6D00"/>
      </font>
      <fill>
        <patternFill patternType="solid">
          <fgColor rgb="FFFFF2CC"/>
        </patternFill>
      </fill>
    </dxf>
    <dxf>
      <font>
        <color rgb="FF1E6B34"/>
      </font>
      <fill>
        <patternFill patternType="solid">
          <fgColor rgb="FFC6EFCE"/>
        </patternFill>
      </fill>
    </dxf>
    <dxf>
      <font>
        <color rgb="FF595959"/>
      </font>
      <fill>
        <patternFill patternType="solid">
          <fgColor rgb="FFE7E6E6"/>
        </patternFill>
      </fill>
    </dxf>
    <dxf>
      <font>
        <color rgb="FF8A6D00"/>
      </font>
      <fill>
        <patternFill patternType="solid">
          <fgColor rgb="FFFFF2CC"/>
        </patternFill>
      </fill>
    </dxf>
    <dxf>
      <font>
        <color rgb="FF1E6B34"/>
      </font>
      <fill>
        <patternFill patternType="solid">
          <fgColor rgb="FFC6EFCE"/>
        </patternFill>
      </fill>
    </dxf>
    <dxf>
      <font>
        <color rgb="FF595959"/>
      </font>
      <fill>
        <patternFill patternType="solid">
          <fgColor rgb="FFE7E6E6"/>
        </patternFill>
      </fill>
    </dxf>
    <dxf>
      <font>
        <color rgb="FF8A6D00"/>
      </font>
      <fill>
        <patternFill patternType="solid">
          <fgColor rgb="FFFFF2CC"/>
        </patternFill>
      </fill>
    </dxf>
    <dxf>
      <font>
        <color rgb="FF1E6B34"/>
      </font>
      <fill>
        <patternFill patternType="solid">
          <fgColor rgb="FFC6EFCE"/>
        </patternFill>
      </fill>
    </dxf>
    <dxf>
      <font>
        <color rgb="FF595959"/>
      </font>
      <fill>
        <patternFill patternType="solid">
          <fgColor rgb="FFE7E6E6"/>
        </patternFill>
      </fill>
    </dxf>
    <dxf>
      <font>
        <color rgb="FF8A6D00"/>
      </font>
      <fill>
        <patternFill patternType="solid">
          <fgColor rgb="FFFFF2CC"/>
        </patternFill>
      </fill>
    </dxf>
    <dxf>
      <font>
        <color rgb="FF1E6B34"/>
      </font>
      <fill>
        <patternFill patternType="solid">
          <fgColor rgb="FFC6EFCE"/>
        </patternFill>
      </fill>
    </dxf>
    <dxf>
      <font>
        <color rgb="FF595959"/>
      </font>
      <fill>
        <patternFill patternType="solid">
          <fgColor rgb="FFE7E6E6"/>
        </patternFill>
      </fill>
    </dxf>
    <dxf>
      <font>
        <color rgb="FF8A6D00"/>
      </font>
      <fill>
        <patternFill patternType="solid">
          <fgColor rgb="FFFFF2CC"/>
        </patternFill>
      </fill>
    </dxf>
    <dxf>
      <font>
        <color rgb="FF1E6B34"/>
      </font>
      <fill>
        <patternFill patternType="solid">
          <fgColor rgb="FFC6EFCE"/>
        </patternFill>
      </fill>
    </dxf>
    <dxf>
      <font>
        <color rgb="FF595959"/>
      </font>
      <fill>
        <patternFill patternType="solid">
          <fgColor rgb="FFE7E6E6"/>
        </patternFill>
      </fill>
    </dxf>
    <dxf>
      <font>
        <color rgb="FF8A6D00"/>
      </font>
      <fill>
        <patternFill patternType="solid">
          <fgColor rgb="FFFFF2CC"/>
        </patternFill>
      </fill>
    </dxf>
    <dxf>
      <font>
        <color rgb="FF1E6B34"/>
      </font>
      <fill>
        <patternFill patternType="solid">
          <fgColor rgb="FFC6EFCE"/>
        </patternFill>
      </fill>
    </dxf>
    <dxf>
      <font>
        <color rgb="FF595959"/>
      </font>
      <fill>
        <patternFill patternType="solid">
          <fgColor rgb="FFE7E6E6"/>
        </patternFill>
      </fill>
    </dxf>
    <dxf>
      <font>
        <color rgb="FF8A6D00"/>
      </font>
      <fill>
        <patternFill patternType="solid">
          <fgColor rgb="FFFFF2CC"/>
        </patternFill>
      </fill>
    </dxf>
    <dxf>
      <font>
        <color rgb="FF1E6B34"/>
      </font>
      <fill>
        <patternFill patternType="solid">
          <fgColor rgb="FFC6EFCE"/>
        </patternFill>
      </fill>
    </dxf>
    <dxf>
      <font>
        <color rgb="FF595959"/>
      </font>
      <fill>
        <patternFill patternType="solid">
          <fgColor rgb="FFE7E6E6"/>
        </patternFill>
      </fill>
    </dxf>
    <dxf>
      <font>
        <color rgb="FF8A6D00"/>
      </font>
      <fill>
        <patternFill patternType="solid">
          <fgColor rgb="FFFFF2CC"/>
        </patternFill>
      </fill>
    </dxf>
    <dxf>
      <font>
        <color rgb="FF1E6B34"/>
      </font>
      <fill>
        <patternFill patternType="solid">
          <fgColor rgb="FFC6EFCE"/>
        </patternFill>
      </fill>
    </dxf>
    <dxf>
      <font>
        <color rgb="FF595959"/>
      </font>
      <fill>
        <patternFill patternType="solid">
          <fgColor rgb="FFE7E6E6"/>
        </patternFill>
      </fill>
    </dxf>
    <dxf>
      <font>
        <color rgb="FF8A6D00"/>
      </font>
      <fill>
        <patternFill patternType="solid">
          <fgColor rgb="FFFFF2CC"/>
        </patternFill>
      </fill>
    </dxf>
    <dxf>
      <font>
        <color rgb="FF1E6B34"/>
      </font>
      <fill>
        <patternFill patternType="solid">
          <fgColor rgb="FFC6EFCE"/>
        </patternFill>
      </fill>
    </dxf>
    <dxf>
      <font>
        <color rgb="FF595959"/>
      </font>
      <fill>
        <patternFill patternType="solid">
          <fgColor rgb="FFE7E6E6"/>
        </patternFill>
      </fill>
    </dxf>
    <dxf>
      <font>
        <color rgb="FF8A6D00"/>
      </font>
      <fill>
        <patternFill patternType="solid">
          <fgColor rgb="FFFFF2CC"/>
        </patternFill>
      </fill>
    </dxf>
    <dxf>
      <font>
        <color rgb="FF1E6B34"/>
      </font>
      <fill>
        <patternFill patternType="solid">
          <fgColor rgb="FFC6EFCE"/>
        </patternFill>
      </fill>
    </dxf>
    <dxf>
      <font>
        <color rgb="FF595959"/>
      </font>
      <fill>
        <patternFill patternType="solid">
          <fgColor rgb="FFE7E6E6"/>
        </patternFill>
      </fill>
    </dxf>
    <dxf>
      <font>
        <color rgb="FF8A6D00"/>
      </font>
      <fill>
        <patternFill patternType="solid">
          <fgColor rgb="FFFFF2CC"/>
        </patternFill>
      </fill>
    </dxf>
    <dxf>
      <font>
        <color rgb="FF1E6B34"/>
      </font>
      <fill>
        <patternFill patternType="solid">
          <fgColor rgb="FFC6EFCE"/>
        </patternFill>
      </fill>
    </dxf>
    <dxf>
      <font>
        <color rgb="FF595959"/>
      </font>
      <fill>
        <patternFill patternType="solid">
          <fgColor rgb="FFE7E6E6"/>
        </patternFill>
      </fill>
    </dxf>
    <dxf>
      <font>
        <color rgb="FF8A6D00"/>
      </font>
      <fill>
        <patternFill patternType="solid">
          <fgColor rgb="FFFFF2CC"/>
        </patternFill>
      </fill>
    </dxf>
    <dxf>
      <font>
        <color rgb="FF1E6B34"/>
      </font>
      <fill>
        <patternFill patternType="solid">
          <fgColor rgb="FFC6EFCE"/>
        </patternFill>
      </fill>
    </dxf>
    <dxf>
      <font>
        <color rgb="FF595959"/>
      </font>
      <fill>
        <patternFill patternType="solid">
          <fgColor rgb="FFE7E6E6"/>
        </patternFill>
      </fill>
    </dxf>
    <dxf>
      <font>
        <color rgb="FF8A6D00"/>
      </font>
      <fill>
        <patternFill patternType="solid">
          <fgColor rgb="FFFFF2CC"/>
        </patternFill>
      </fill>
    </dxf>
    <dxf>
      <font>
        <color rgb="FF1E6B34"/>
      </font>
      <fill>
        <patternFill patternType="solid">
          <fgColor rgb="FFC6EFCE"/>
        </patternFill>
      </fill>
    </dxf>
    <dxf>
      <font>
        <color rgb="FF595959"/>
      </font>
      <fill>
        <patternFill patternType="solid">
          <fgColor rgb="FFE7E6E6"/>
        </patternFill>
      </fill>
    </dxf>
    <dxf>
      <font>
        <color rgb="FF8A6D00"/>
      </font>
      <fill>
        <patternFill patternType="solid">
          <fgColor rgb="FFFFF2CC"/>
        </patternFill>
      </fill>
    </dxf>
    <dxf>
      <font>
        <color rgb="FF1E6B34"/>
      </font>
      <fill>
        <patternFill patternType="solid">
          <fgColor rgb="FFC6EFCE"/>
        </patternFill>
      </fill>
    </dxf>
    <dxf>
      <font>
        <color rgb="FF595959"/>
      </font>
      <fill>
        <patternFill patternType="solid">
          <fgColor rgb="FFE7E6E6"/>
        </patternFill>
      </fill>
    </dxf>
    <dxf>
      <font>
        <color rgb="FF8A6D00"/>
      </font>
      <fill>
        <patternFill patternType="solid">
          <fgColor rgb="FFFFF2CC"/>
        </patternFill>
      </fill>
    </dxf>
    <dxf>
      <font>
        <color rgb="FF1E6B34"/>
      </font>
      <fill>
        <patternFill patternType="solid">
          <fgColor rgb="FFC6EFCE"/>
        </patternFill>
      </fill>
    </dxf>
    <dxf>
      <font>
        <color rgb="FF595959"/>
      </font>
      <fill>
        <patternFill patternType="solid">
          <fgColor rgb="FFE7E6E6"/>
        </patternFill>
      </fill>
    </dxf>
    <dxf>
      <font>
        <color rgb="FF8A6D00"/>
      </font>
      <fill>
        <patternFill patternType="solid">
          <fgColor rgb="FFFFF2CC"/>
        </patternFill>
      </fill>
    </dxf>
    <dxf>
      <font>
        <color rgb="FF1E6B34"/>
      </font>
      <fill>
        <patternFill patternType="solid">
          <fgColor rgb="FFC6EFCE"/>
        </patternFill>
      </fill>
    </dxf>
    <dxf>
      <font>
        <color rgb="FF595959"/>
      </font>
      <fill>
        <patternFill patternType="solid">
          <fgColor rgb="FFE7E6E6"/>
        </patternFill>
      </fill>
    </dxf>
    <dxf>
      <font>
        <color rgb="FF8A6D00"/>
      </font>
      <fill>
        <patternFill patternType="solid">
          <fgColor rgb="FFFFF2CC"/>
        </patternFill>
      </fill>
    </dxf>
    <dxf>
      <font>
        <color rgb="FF1E6B34"/>
      </font>
      <fill>
        <patternFill patternType="solid">
          <fgColor rgb="FFC6EFCE"/>
        </patternFill>
      </fill>
    </dxf>
    <dxf>
      <font>
        <color rgb="FF595959"/>
      </font>
      <fill>
        <patternFill patternType="solid">
          <fgColor rgb="FFE7E6E6"/>
        </patternFill>
      </fill>
    </dxf>
    <dxf>
      <font>
        <color rgb="FF8A6D00"/>
      </font>
      <fill>
        <patternFill patternType="solid">
          <fgColor rgb="FFFFF2CC"/>
        </patternFill>
      </fill>
    </dxf>
    <dxf>
      <font>
        <color rgb="FF1E6B34"/>
      </font>
      <fill>
        <patternFill patternType="solid">
          <fgColor rgb="FFC6EFCE"/>
        </patternFill>
      </fill>
    </dxf>
    <dxf>
      <font>
        <color rgb="FF595959"/>
      </font>
      <fill>
        <patternFill patternType="solid">
          <fgColor rgb="FFE7E6E6"/>
        </patternFill>
      </fill>
    </dxf>
    <dxf>
      <font>
        <color rgb="FF8A6D00"/>
      </font>
      <fill>
        <patternFill patternType="solid">
          <fgColor rgb="FFFFF2CC"/>
        </patternFill>
      </fill>
    </dxf>
    <dxf>
      <font>
        <color rgb="FF1E6B34"/>
      </font>
      <fill>
        <patternFill patternType="solid">
          <fgColor rgb="FFC6EFCE"/>
        </patternFill>
      </fill>
    </dxf>
    <dxf>
      <font>
        <color rgb="FF595959"/>
      </font>
      <fill>
        <patternFill patternType="solid">
          <fgColor rgb="FFE7E6E6"/>
        </patternFill>
      </fill>
    </dxf>
    <dxf>
      <font>
        <color rgb="FF8A6D00"/>
      </font>
      <fill>
        <patternFill patternType="solid">
          <fgColor rgb="FFFFF2CC"/>
        </patternFill>
      </fill>
    </dxf>
    <dxf>
      <font>
        <color rgb="FF1E6B34"/>
      </font>
      <fill>
        <patternFill patternType="solid">
          <fgColor rgb="FFC6EFCE"/>
        </patternFill>
      </fill>
    </dxf>
    <dxf>
      <font>
        <color rgb="FF595959"/>
      </font>
      <fill>
        <patternFill patternType="solid">
          <fgColor rgb="FFE7E6E6"/>
        </patternFill>
      </fill>
    </dxf>
    <dxf>
      <font>
        <color rgb="FF8A6D00"/>
      </font>
      <fill>
        <patternFill patternType="solid">
          <fgColor rgb="FFFFF2CC"/>
        </patternFill>
      </fill>
    </dxf>
    <dxf>
      <font>
        <color rgb="FF1E6B34"/>
      </font>
      <fill>
        <patternFill patternType="solid">
          <f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Completion by week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Dashboard!$E$7</c:f>
              <c:strCache>
                <c:ptCount val="1"/>
                <c:pt idx="0">
                  <c:v>% Complete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Dashboard!$A$8:$A$31</c:f>
              <c:strCache>
                <c:ptCount val="24"/>
                <c:pt idx="0">
                  <c:v>Week 01</c:v>
                </c:pt>
                <c:pt idx="1">
                  <c:v>Week 02</c:v>
                </c:pt>
                <c:pt idx="2">
                  <c:v>Week 03</c:v>
                </c:pt>
                <c:pt idx="3">
                  <c:v>Week 04</c:v>
                </c:pt>
                <c:pt idx="4">
                  <c:v>Week 05</c:v>
                </c:pt>
                <c:pt idx="5">
                  <c:v>Week 06</c:v>
                </c:pt>
                <c:pt idx="6">
                  <c:v>Week 07</c:v>
                </c:pt>
                <c:pt idx="7">
                  <c:v>Week 08</c:v>
                </c:pt>
                <c:pt idx="8">
                  <c:v>Week 09</c:v>
                </c:pt>
                <c:pt idx="9">
                  <c:v>Week 10</c:v>
                </c:pt>
                <c:pt idx="10">
                  <c:v>Week 11</c:v>
                </c:pt>
                <c:pt idx="11">
                  <c:v>Week 12</c:v>
                </c:pt>
                <c:pt idx="12">
                  <c:v>Week 13</c:v>
                </c:pt>
                <c:pt idx="13">
                  <c:v>Week 14</c:v>
                </c:pt>
                <c:pt idx="14">
                  <c:v>Week 15</c:v>
                </c:pt>
                <c:pt idx="15">
                  <c:v>Week 16</c:v>
                </c:pt>
                <c:pt idx="16">
                  <c:v>Week 17</c:v>
                </c:pt>
                <c:pt idx="17">
                  <c:v>Week 18</c:v>
                </c:pt>
                <c:pt idx="18">
                  <c:v>Week 19</c:v>
                </c:pt>
                <c:pt idx="19">
                  <c:v>Week 20</c:v>
                </c:pt>
                <c:pt idx="20">
                  <c:v>Week 21</c:v>
                </c:pt>
                <c:pt idx="21">
                  <c:v>Week 22</c:v>
                </c:pt>
                <c:pt idx="22">
                  <c:v>Week 23</c:v>
                </c:pt>
                <c:pt idx="23">
                  <c:v>Week 24</c:v>
                </c:pt>
              </c:strCache>
            </c:strRef>
          </c:cat>
          <c:val>
            <c:numRef>
              <c:f>Dashboard!$E$8:$E$31</c:f>
              <c:numCache>
                <c:formatCode>0%</c:formatCode>
                <c:ptCount val="24"/>
                <c:pt idx="0">
                  <c:v>0.14285714285714285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AB-B84B-8AE7-E6995DC707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% complete</a:t>
                </a:r>
              </a:p>
            </c:rich>
          </c:tx>
          <c:overlay val="1"/>
        </c:title>
        <c:numFmt formatCode="0%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6</xdr:row>
      <xdr:rowOff>0</xdr:rowOff>
    </xdr:from>
    <xdr:ext cx="792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0</xdr:colOff>
      <xdr:row>1</xdr:row>
      <xdr:rowOff>0</xdr:rowOff>
    </xdr:from>
    <xdr:ext cx="762000" cy="7620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5B301"/>
  </sheetPr>
  <dimension ref="A1:F49"/>
  <sheetViews>
    <sheetView workbookViewId="0">
      <pane ySplit="7" topLeftCell="A14" activePane="bottomLeft" state="frozen"/>
      <selection pane="bottomLeft" activeCell="C5" sqref="C5"/>
    </sheetView>
  </sheetViews>
  <sheetFormatPr baseColWidth="10" defaultColWidth="8.83203125" defaultRowHeight="15" x14ac:dyDescent="0.2"/>
  <cols>
    <col min="1" max="1" width="13" customWidth="1"/>
    <col min="2" max="2" width="24" customWidth="1"/>
    <col min="3" max="3" width="64" customWidth="1"/>
    <col min="4" max="4" width="18" customWidth="1"/>
    <col min="5" max="6" width="12" customWidth="1"/>
    <col min="7" max="8" width="3" customWidth="1"/>
  </cols>
  <sheetData>
    <row r="1" spans="1:6" ht="26" customHeight="1" x14ac:dyDescent="0.25">
      <c r="A1" s="26" t="s">
        <v>0</v>
      </c>
      <c r="B1" s="24"/>
      <c r="C1" s="24"/>
      <c r="D1" s="24"/>
      <c r="E1" s="24"/>
      <c r="F1" s="24"/>
    </row>
    <row r="2" spans="1:6" x14ac:dyDescent="0.2">
      <c r="A2" s="23" t="s">
        <v>1</v>
      </c>
      <c r="B2" s="24"/>
      <c r="C2" s="24"/>
      <c r="D2" s="24"/>
      <c r="E2" s="24"/>
      <c r="F2" s="24"/>
    </row>
    <row r="4" spans="1:6" x14ac:dyDescent="0.2">
      <c r="B4" s="2" t="s">
        <v>2</v>
      </c>
      <c r="C4" s="3" t="s">
        <v>382</v>
      </c>
      <c r="D4" s="2" t="s">
        <v>3</v>
      </c>
      <c r="E4" s="3" t="s">
        <v>383</v>
      </c>
    </row>
    <row r="5" spans="1:6" x14ac:dyDescent="0.2">
      <c r="B5" s="4" t="s">
        <v>4</v>
      </c>
      <c r="C5" s="3"/>
      <c r="D5" s="4" t="s">
        <v>5</v>
      </c>
      <c r="E5" s="3"/>
    </row>
    <row r="7" spans="1:6" ht="16" x14ac:dyDescent="0.2">
      <c r="A7" s="5" t="s">
        <v>6</v>
      </c>
      <c r="B7" s="5" t="s">
        <v>7</v>
      </c>
      <c r="C7" s="5" t="s">
        <v>8</v>
      </c>
      <c r="D7" s="5" t="s">
        <v>9</v>
      </c>
      <c r="E7" s="5" t="s">
        <v>10</v>
      </c>
    </row>
    <row r="8" spans="1:6" ht="16" x14ac:dyDescent="0.2">
      <c r="A8" s="6" t="s">
        <v>11</v>
      </c>
      <c r="B8" s="7" t="s">
        <v>12</v>
      </c>
      <c r="C8" s="7" t="s">
        <v>13</v>
      </c>
      <c r="D8" s="6" t="str">
        <f>IF('Week 01'!$B$13&gt;=1,"✅ Complete",IF('Week 01'!$B$13&gt;0,"▶ In progress","☐ Not started"))</f>
        <v>▶ In progress</v>
      </c>
      <c r="E8" s="8">
        <f>'Week 01'!$B$13</f>
        <v>0.14285714285714285</v>
      </c>
    </row>
    <row r="9" spans="1:6" ht="16" x14ac:dyDescent="0.2">
      <c r="A9" s="6" t="s">
        <v>14</v>
      </c>
      <c r="B9" s="7" t="s">
        <v>12</v>
      </c>
      <c r="C9" s="7" t="s">
        <v>15</v>
      </c>
      <c r="D9" s="6" t="str">
        <f>IF('Week 02'!$B$13&gt;=1,"✅ Complete",IF('Week 02'!$B$13&gt;0,"▶ In progress","☐ Not started"))</f>
        <v>☐ Not started</v>
      </c>
      <c r="E9" s="8">
        <f>'Week 02'!$B$13</f>
        <v>0</v>
      </c>
    </row>
    <row r="10" spans="1:6" ht="16" x14ac:dyDescent="0.2">
      <c r="A10" s="6" t="s">
        <v>16</v>
      </c>
      <c r="B10" s="7" t="s">
        <v>12</v>
      </c>
      <c r="C10" s="7" t="s">
        <v>17</v>
      </c>
      <c r="D10" s="6" t="str">
        <f>IF('Week 03'!$B$13&gt;=1,"✅ Complete",IF('Week 03'!$B$13&gt;0,"▶ In progress","☐ Not started"))</f>
        <v>☐ Not started</v>
      </c>
      <c r="E10" s="8">
        <f>'Week 03'!$B$13</f>
        <v>0</v>
      </c>
    </row>
    <row r="11" spans="1:6" ht="16" x14ac:dyDescent="0.2">
      <c r="A11" s="6" t="s">
        <v>18</v>
      </c>
      <c r="B11" s="7" t="s">
        <v>12</v>
      </c>
      <c r="C11" s="7" t="s">
        <v>19</v>
      </c>
      <c r="D11" s="6" t="str">
        <f>IF('Week 04'!$B$13&gt;=1,"✅ Complete",IF('Week 04'!$B$13&gt;0,"▶ In progress","☐ Not started"))</f>
        <v>☐ Not started</v>
      </c>
      <c r="E11" s="8">
        <f>'Week 04'!$B$13</f>
        <v>0</v>
      </c>
    </row>
    <row r="12" spans="1:6" ht="16" x14ac:dyDescent="0.2">
      <c r="A12" s="6" t="s">
        <v>20</v>
      </c>
      <c r="B12" s="7" t="s">
        <v>21</v>
      </c>
      <c r="C12" s="7" t="s">
        <v>22</v>
      </c>
      <c r="D12" s="6" t="str">
        <f>IF('Week 05'!$B$13&gt;=1,"✅ Complete",IF('Week 05'!$B$13&gt;0,"▶ In progress","☐ Not started"))</f>
        <v>☐ Not started</v>
      </c>
      <c r="E12" s="8">
        <f>'Week 05'!$B$13</f>
        <v>0</v>
      </c>
    </row>
    <row r="13" spans="1:6" ht="16" x14ac:dyDescent="0.2">
      <c r="A13" s="6" t="s">
        <v>23</v>
      </c>
      <c r="B13" s="7" t="s">
        <v>21</v>
      </c>
      <c r="C13" s="7" t="s">
        <v>24</v>
      </c>
      <c r="D13" s="6" t="str">
        <f>IF('Week 06'!$B$13&gt;=1,"✅ Complete",IF('Week 06'!$B$13&gt;0,"▶ In progress","☐ Not started"))</f>
        <v>☐ Not started</v>
      </c>
      <c r="E13" s="8">
        <f>'Week 06'!$B$13</f>
        <v>0</v>
      </c>
    </row>
    <row r="14" spans="1:6" ht="16" x14ac:dyDescent="0.2">
      <c r="A14" s="6" t="s">
        <v>25</v>
      </c>
      <c r="B14" s="7" t="s">
        <v>21</v>
      </c>
      <c r="C14" s="7" t="s">
        <v>26</v>
      </c>
      <c r="D14" s="6" t="str">
        <f>IF('Week 07'!$B$13&gt;=1,"✅ Complete",IF('Week 07'!$B$13&gt;0,"▶ In progress","☐ Not started"))</f>
        <v>☐ Not started</v>
      </c>
      <c r="E14" s="8">
        <f>'Week 07'!$B$13</f>
        <v>0</v>
      </c>
    </row>
    <row r="15" spans="1:6" ht="16" x14ac:dyDescent="0.2">
      <c r="A15" s="6" t="s">
        <v>27</v>
      </c>
      <c r="B15" s="7" t="s">
        <v>21</v>
      </c>
      <c r="C15" s="7" t="s">
        <v>28</v>
      </c>
      <c r="D15" s="6" t="str">
        <f>IF('Week 08'!$B$13&gt;=1,"✅ Complete",IF('Week 08'!$B$13&gt;0,"▶ In progress","☐ Not started"))</f>
        <v>☐ Not started</v>
      </c>
      <c r="E15" s="8">
        <f>'Week 08'!$B$13</f>
        <v>0</v>
      </c>
    </row>
    <row r="16" spans="1:6" ht="16" x14ac:dyDescent="0.2">
      <c r="A16" s="6" t="s">
        <v>29</v>
      </c>
      <c r="B16" s="7" t="s">
        <v>30</v>
      </c>
      <c r="C16" s="7" t="s">
        <v>31</v>
      </c>
      <c r="D16" s="6" t="str">
        <f>IF('Week 09'!$B$13&gt;=1,"✅ Complete",IF('Week 09'!$B$13&gt;0,"▶ In progress","☐ Not started"))</f>
        <v>☐ Not started</v>
      </c>
      <c r="E16" s="8">
        <f>'Week 09'!$B$13</f>
        <v>0</v>
      </c>
    </row>
    <row r="17" spans="1:5" ht="16" x14ac:dyDescent="0.2">
      <c r="A17" s="6" t="s">
        <v>32</v>
      </c>
      <c r="B17" s="7" t="s">
        <v>30</v>
      </c>
      <c r="C17" s="7" t="s">
        <v>33</v>
      </c>
      <c r="D17" s="6" t="str">
        <f>IF('Week 10'!$B$13&gt;=1,"✅ Complete",IF('Week 10'!$B$13&gt;0,"▶ In progress","☐ Not started"))</f>
        <v>☐ Not started</v>
      </c>
      <c r="E17" s="8">
        <f>'Week 10'!$B$13</f>
        <v>0</v>
      </c>
    </row>
    <row r="18" spans="1:5" ht="16" x14ac:dyDescent="0.2">
      <c r="A18" s="6" t="s">
        <v>34</v>
      </c>
      <c r="B18" s="7" t="s">
        <v>30</v>
      </c>
      <c r="C18" s="7" t="s">
        <v>35</v>
      </c>
      <c r="D18" s="6" t="str">
        <f>IF('Week 11'!$B$13&gt;=1,"✅ Complete",IF('Week 11'!$B$13&gt;0,"▶ In progress","☐ Not started"))</f>
        <v>☐ Not started</v>
      </c>
      <c r="E18" s="8">
        <f>'Week 11'!$B$13</f>
        <v>0</v>
      </c>
    </row>
    <row r="19" spans="1:5" ht="16" x14ac:dyDescent="0.2">
      <c r="A19" s="6" t="s">
        <v>36</v>
      </c>
      <c r="B19" s="7" t="s">
        <v>37</v>
      </c>
      <c r="C19" s="7" t="s">
        <v>38</v>
      </c>
      <c r="D19" s="6" t="str">
        <f>IF('Week 12'!$B$13&gt;=1,"✅ Complete",IF('Week 12'!$B$13&gt;0,"▶ In progress","☐ Not started"))</f>
        <v>☐ Not started</v>
      </c>
      <c r="E19" s="8">
        <f>'Week 12'!$B$13</f>
        <v>0</v>
      </c>
    </row>
    <row r="20" spans="1:5" ht="16" x14ac:dyDescent="0.2">
      <c r="A20" s="6" t="s">
        <v>39</v>
      </c>
      <c r="B20" s="7" t="s">
        <v>37</v>
      </c>
      <c r="C20" s="7" t="s">
        <v>40</v>
      </c>
      <c r="D20" s="6" t="str">
        <f>IF('Week 13'!$B$13&gt;=1,"✅ Complete",IF('Week 13'!$B$13&gt;0,"▶ In progress","☐ Not started"))</f>
        <v>☐ Not started</v>
      </c>
      <c r="E20" s="8">
        <f>'Week 13'!$B$13</f>
        <v>0</v>
      </c>
    </row>
    <row r="21" spans="1:5" ht="16" x14ac:dyDescent="0.2">
      <c r="A21" s="6" t="s">
        <v>41</v>
      </c>
      <c r="B21" s="7" t="s">
        <v>42</v>
      </c>
      <c r="C21" s="7" t="s">
        <v>43</v>
      </c>
      <c r="D21" s="6" t="str">
        <f>IF('Week 14'!$B$13&gt;=1,"✅ Complete",IF('Week 14'!$B$13&gt;0,"▶ In progress","☐ Not started"))</f>
        <v>☐ Not started</v>
      </c>
      <c r="E21" s="8">
        <f>'Week 14'!$B$13</f>
        <v>0</v>
      </c>
    </row>
    <row r="22" spans="1:5" ht="16" x14ac:dyDescent="0.2">
      <c r="A22" s="6" t="s">
        <v>44</v>
      </c>
      <c r="B22" s="7" t="s">
        <v>42</v>
      </c>
      <c r="C22" s="7" t="s">
        <v>45</v>
      </c>
      <c r="D22" s="6" t="str">
        <f>IF('Week 15'!$B$13&gt;=1,"✅ Complete",IF('Week 15'!$B$13&gt;0,"▶ In progress","☐ Not started"))</f>
        <v>☐ Not started</v>
      </c>
      <c r="E22" s="8">
        <f>'Week 15'!$B$13</f>
        <v>0</v>
      </c>
    </row>
    <row r="23" spans="1:5" ht="16" x14ac:dyDescent="0.2">
      <c r="A23" s="6" t="s">
        <v>46</v>
      </c>
      <c r="B23" s="7" t="s">
        <v>42</v>
      </c>
      <c r="C23" s="7" t="s">
        <v>47</v>
      </c>
      <c r="D23" s="6" t="str">
        <f>IF('Week 16'!$B$13&gt;=1,"✅ Complete",IF('Week 16'!$B$13&gt;0,"▶ In progress","☐ Not started"))</f>
        <v>☐ Not started</v>
      </c>
      <c r="E23" s="8">
        <f>'Week 16'!$B$13</f>
        <v>0</v>
      </c>
    </row>
    <row r="24" spans="1:5" ht="16" x14ac:dyDescent="0.2">
      <c r="A24" s="6" t="s">
        <v>48</v>
      </c>
      <c r="B24" s="7" t="s">
        <v>42</v>
      </c>
      <c r="C24" s="7" t="s">
        <v>49</v>
      </c>
      <c r="D24" s="6" t="str">
        <f>IF('Week 17'!$B$13&gt;=1,"✅ Complete",IF('Week 17'!$B$13&gt;0,"▶ In progress","☐ Not started"))</f>
        <v>☐ Not started</v>
      </c>
      <c r="E24" s="8">
        <f>'Week 17'!$B$13</f>
        <v>0</v>
      </c>
    </row>
    <row r="25" spans="1:5" ht="16" x14ac:dyDescent="0.2">
      <c r="A25" s="6" t="s">
        <v>50</v>
      </c>
      <c r="B25" s="7" t="s">
        <v>51</v>
      </c>
      <c r="C25" s="7" t="s">
        <v>52</v>
      </c>
      <c r="D25" s="6" t="str">
        <f>IF('Week 18'!$B$13&gt;=1,"✅ Complete",IF('Week 18'!$B$13&gt;0,"▶ In progress","☐ Not started"))</f>
        <v>☐ Not started</v>
      </c>
      <c r="E25" s="8">
        <f>'Week 18'!$B$13</f>
        <v>0</v>
      </c>
    </row>
    <row r="26" spans="1:5" ht="16" x14ac:dyDescent="0.2">
      <c r="A26" s="6" t="s">
        <v>53</v>
      </c>
      <c r="B26" s="7" t="s">
        <v>51</v>
      </c>
      <c r="C26" s="7" t="s">
        <v>54</v>
      </c>
      <c r="D26" s="6" t="str">
        <f>IF('Week 19'!$B$13&gt;=1,"✅ Complete",IF('Week 19'!$B$13&gt;0,"▶ In progress","☐ Not started"))</f>
        <v>☐ Not started</v>
      </c>
      <c r="E26" s="8">
        <f>'Week 19'!$B$13</f>
        <v>0</v>
      </c>
    </row>
    <row r="27" spans="1:5" ht="16" x14ac:dyDescent="0.2">
      <c r="A27" s="6" t="s">
        <v>55</v>
      </c>
      <c r="B27" s="7" t="s">
        <v>51</v>
      </c>
      <c r="C27" s="7" t="s">
        <v>56</v>
      </c>
      <c r="D27" s="6" t="str">
        <f>IF('Week 20'!$B$13&gt;=1,"✅ Complete",IF('Week 20'!$B$13&gt;0,"▶ In progress","☐ Not started"))</f>
        <v>☐ Not started</v>
      </c>
      <c r="E27" s="8">
        <f>'Week 20'!$B$13</f>
        <v>0</v>
      </c>
    </row>
    <row r="28" spans="1:5" ht="16" x14ac:dyDescent="0.2">
      <c r="A28" s="6" t="s">
        <v>57</v>
      </c>
      <c r="B28" s="7" t="s">
        <v>58</v>
      </c>
      <c r="C28" s="7" t="s">
        <v>59</v>
      </c>
      <c r="D28" s="6" t="str">
        <f>IF('Week 21'!$B$13&gt;=1,"✅ Complete",IF('Week 21'!$B$13&gt;0,"▶ In progress","☐ Not started"))</f>
        <v>☐ Not started</v>
      </c>
      <c r="E28" s="8">
        <f>'Week 21'!$B$13</f>
        <v>0</v>
      </c>
    </row>
    <row r="29" spans="1:5" ht="16" x14ac:dyDescent="0.2">
      <c r="A29" s="6" t="s">
        <v>60</v>
      </c>
      <c r="B29" s="7" t="s">
        <v>58</v>
      </c>
      <c r="C29" s="7" t="s">
        <v>61</v>
      </c>
      <c r="D29" s="6" t="str">
        <f>IF('Week 22'!$B$13&gt;=1,"✅ Complete",IF('Week 22'!$B$13&gt;0,"▶ In progress","☐ Not started"))</f>
        <v>☐ Not started</v>
      </c>
      <c r="E29" s="8">
        <f>'Week 22'!$B$13</f>
        <v>0</v>
      </c>
    </row>
    <row r="30" spans="1:5" ht="16" x14ac:dyDescent="0.2">
      <c r="A30" s="6" t="s">
        <v>62</v>
      </c>
      <c r="B30" s="7" t="s">
        <v>58</v>
      </c>
      <c r="C30" s="7" t="s">
        <v>63</v>
      </c>
      <c r="D30" s="6" t="str">
        <f>IF('Week 23'!$B$13&gt;=1,"✅ Complete",IF('Week 23'!$B$13&gt;0,"▶ In progress","☐ Not started"))</f>
        <v>☐ Not started</v>
      </c>
      <c r="E30" s="8">
        <f>'Week 23'!$B$13</f>
        <v>0</v>
      </c>
    </row>
    <row r="31" spans="1:5" ht="16" x14ac:dyDescent="0.2">
      <c r="A31" s="6" t="s">
        <v>64</v>
      </c>
      <c r="B31" s="7" t="s">
        <v>58</v>
      </c>
      <c r="C31" s="7" t="s">
        <v>65</v>
      </c>
      <c r="D31" s="6" t="str">
        <f>IF('Week 24'!$B$13&gt;=1,"✅ Complete",IF('Week 24'!$B$13&gt;0,"▶ In progress","☐ Not started"))</f>
        <v>☐ Not started</v>
      </c>
      <c r="E31" s="8">
        <f>'Week 24'!$B$13</f>
        <v>0</v>
      </c>
    </row>
    <row r="33" spans="1:5" ht="17" x14ac:dyDescent="0.2">
      <c r="D33" s="2" t="s">
        <v>66</v>
      </c>
      <c r="E33" s="9">
        <f>AVERAGE(E8:E31)</f>
        <v>5.9523809523809521E-3</v>
      </c>
    </row>
    <row r="36" spans="1:5" ht="17" x14ac:dyDescent="0.2">
      <c r="A36" s="27" t="s">
        <v>67</v>
      </c>
      <c r="B36" s="24"/>
      <c r="C36" s="24"/>
      <c r="D36" s="24"/>
      <c r="E36" s="24"/>
    </row>
    <row r="37" spans="1:5" x14ac:dyDescent="0.2">
      <c r="A37" s="10" t="s">
        <v>12</v>
      </c>
      <c r="B37" s="11" t="s">
        <v>68</v>
      </c>
      <c r="C37" s="12">
        <f>AVERAGE(E8:E11)</f>
        <v>3.5714285714285712E-2</v>
      </c>
      <c r="D37" s="25" t="s">
        <v>69</v>
      </c>
      <c r="E37" s="24"/>
    </row>
    <row r="38" spans="1:5" x14ac:dyDescent="0.2">
      <c r="A38" s="10" t="s">
        <v>21</v>
      </c>
      <c r="B38" s="11" t="s">
        <v>70</v>
      </c>
      <c r="C38" s="12">
        <f>AVERAGE(E12:E15)</f>
        <v>0</v>
      </c>
      <c r="D38" s="25" t="s">
        <v>71</v>
      </c>
      <c r="E38" s="24"/>
    </row>
    <row r="39" spans="1:5" x14ac:dyDescent="0.2">
      <c r="A39" s="10" t="s">
        <v>30</v>
      </c>
      <c r="B39" s="11" t="s">
        <v>72</v>
      </c>
      <c r="C39" s="12">
        <f>AVERAGE(E16:E18)</f>
        <v>0</v>
      </c>
      <c r="D39" s="25" t="s">
        <v>73</v>
      </c>
      <c r="E39" s="24"/>
    </row>
    <row r="40" spans="1:5" x14ac:dyDescent="0.2">
      <c r="A40" s="10" t="s">
        <v>37</v>
      </c>
      <c r="B40" s="11" t="s">
        <v>74</v>
      </c>
      <c r="C40" s="12">
        <f>AVERAGE(E19:E20)</f>
        <v>0</v>
      </c>
      <c r="D40" s="25" t="s">
        <v>75</v>
      </c>
      <c r="E40" s="24"/>
    </row>
    <row r="41" spans="1:5" x14ac:dyDescent="0.2">
      <c r="A41" s="10" t="s">
        <v>42</v>
      </c>
      <c r="B41" s="11" t="s">
        <v>76</v>
      </c>
      <c r="C41" s="12">
        <f>AVERAGE(E21:E24)</f>
        <v>0</v>
      </c>
      <c r="D41" s="25" t="s">
        <v>77</v>
      </c>
      <c r="E41" s="24"/>
    </row>
    <row r="42" spans="1:5" x14ac:dyDescent="0.2">
      <c r="A42" s="10" t="s">
        <v>51</v>
      </c>
      <c r="B42" s="11" t="s">
        <v>78</v>
      </c>
      <c r="C42" s="12">
        <f>AVERAGE(E25:E27)</f>
        <v>0</v>
      </c>
      <c r="D42" s="25" t="s">
        <v>79</v>
      </c>
      <c r="E42" s="24"/>
    </row>
    <row r="43" spans="1:5" x14ac:dyDescent="0.2">
      <c r="A43" s="10" t="s">
        <v>58</v>
      </c>
      <c r="B43" s="11" t="s">
        <v>80</v>
      </c>
      <c r="C43" s="12">
        <f>AVERAGE(E28:E31)</f>
        <v>0</v>
      </c>
      <c r="D43" s="25" t="s">
        <v>81</v>
      </c>
      <c r="E43" s="24"/>
    </row>
    <row r="45" spans="1:5" x14ac:dyDescent="0.2">
      <c r="A45" s="2" t="s">
        <v>82</v>
      </c>
    </row>
    <row r="46" spans="1:5" ht="16" x14ac:dyDescent="0.2">
      <c r="A46" s="6" t="s">
        <v>83</v>
      </c>
      <c r="B46" s="4" t="s">
        <v>84</v>
      </c>
    </row>
    <row r="47" spans="1:5" ht="16" x14ac:dyDescent="0.2">
      <c r="A47" s="13" t="s">
        <v>85</v>
      </c>
      <c r="B47" s="4" t="s">
        <v>86</v>
      </c>
    </row>
    <row r="48" spans="1:5" ht="16" x14ac:dyDescent="0.2">
      <c r="A48" s="14" t="s">
        <v>87</v>
      </c>
      <c r="B48" s="4" t="s">
        <v>88</v>
      </c>
    </row>
    <row r="49" spans="1:2" ht="16" x14ac:dyDescent="0.2">
      <c r="A49" s="15" t="s">
        <v>89</v>
      </c>
      <c r="B49" s="4" t="s">
        <v>90</v>
      </c>
    </row>
  </sheetData>
  <mergeCells count="10">
    <mergeCell ref="A2:F2"/>
    <mergeCell ref="D42:E42"/>
    <mergeCell ref="D43:E43"/>
    <mergeCell ref="A1:F1"/>
    <mergeCell ref="D37:E37"/>
    <mergeCell ref="D38:E38"/>
    <mergeCell ref="D41:E41"/>
    <mergeCell ref="A36:E36"/>
    <mergeCell ref="D40:E40"/>
    <mergeCell ref="D39:E39"/>
  </mergeCells>
  <conditionalFormatting sqref="E8:E31">
    <cfRule type="dataBar" priority="1">
      <dataBar>
        <cfvo type="num" val="0"/>
        <cfvo type="num" val="1"/>
        <color rgb="FFF5B301"/>
      </dataBar>
    </cfRule>
  </conditionalFormatting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3"/>
  <sheetViews>
    <sheetView tabSelected="1" zoomScale="166" workbookViewId="0">
      <pane ySplit="5" topLeftCell="A6" activePane="bottomLeft" state="frozen"/>
      <selection pane="bottomLeft" activeCell="D14" sqref="D14"/>
    </sheetView>
  </sheetViews>
  <sheetFormatPr baseColWidth="10" defaultColWidth="8.83203125" defaultRowHeight="15" x14ac:dyDescent="0.2"/>
  <cols>
    <col min="1" max="1" width="12" customWidth="1"/>
    <col min="2" max="2" width="78" customWidth="1"/>
    <col min="3" max="3" width="18" customWidth="1"/>
    <col min="4" max="4" width="34" customWidth="1"/>
    <col min="5" max="6" width="40" customWidth="1"/>
  </cols>
  <sheetData>
    <row r="1" spans="1:6" ht="26" customHeight="1" x14ac:dyDescent="0.2">
      <c r="A1" s="29" t="s">
        <v>91</v>
      </c>
      <c r="B1" s="24"/>
      <c r="C1" s="24"/>
      <c r="D1" s="24"/>
      <c r="E1" s="24"/>
      <c r="F1" s="24"/>
    </row>
    <row r="2" spans="1:6" x14ac:dyDescent="0.2">
      <c r="A2" s="28" t="s">
        <v>92</v>
      </c>
      <c r="B2" s="24"/>
      <c r="C2" s="24"/>
      <c r="D2" s="24"/>
      <c r="E2" s="24"/>
      <c r="F2" s="24"/>
    </row>
    <row r="3" spans="1:6" x14ac:dyDescent="0.2">
      <c r="A3" s="31" t="s">
        <v>93</v>
      </c>
      <c r="B3" s="24"/>
      <c r="C3" s="24"/>
      <c r="D3" s="24"/>
      <c r="E3" s="24"/>
      <c r="F3" s="24"/>
    </row>
    <row r="5" spans="1:6" ht="16" x14ac:dyDescent="0.2">
      <c r="A5" s="5" t="s">
        <v>94</v>
      </c>
      <c r="B5" s="5" t="s">
        <v>95</v>
      </c>
      <c r="C5" s="5" t="s">
        <v>9</v>
      </c>
      <c r="D5" s="5" t="s">
        <v>96</v>
      </c>
    </row>
    <row r="6" spans="1:6" ht="30" customHeight="1" x14ac:dyDescent="0.2">
      <c r="A6" s="16" t="s">
        <v>97</v>
      </c>
      <c r="B6" s="7" t="s">
        <v>98</v>
      </c>
      <c r="C6" s="6" t="s">
        <v>87</v>
      </c>
      <c r="D6" s="7">
        <v>6</v>
      </c>
    </row>
    <row r="7" spans="1:6" ht="30" customHeight="1" x14ac:dyDescent="0.2">
      <c r="A7" s="16" t="s">
        <v>99</v>
      </c>
      <c r="B7" s="7" t="s">
        <v>100</v>
      </c>
      <c r="C7" s="6" t="s">
        <v>83</v>
      </c>
      <c r="D7" s="7"/>
    </row>
    <row r="8" spans="1:6" ht="30" customHeight="1" x14ac:dyDescent="0.2">
      <c r="A8" s="16" t="s">
        <v>101</v>
      </c>
      <c r="B8" s="7" t="s">
        <v>102</v>
      </c>
      <c r="C8" s="6" t="s">
        <v>83</v>
      </c>
      <c r="D8" s="7"/>
    </row>
    <row r="9" spans="1:6" ht="30" customHeight="1" x14ac:dyDescent="0.2">
      <c r="A9" s="16" t="s">
        <v>103</v>
      </c>
      <c r="B9" s="7" t="s">
        <v>104</v>
      </c>
      <c r="C9" s="6" t="s">
        <v>83</v>
      </c>
      <c r="D9" s="7"/>
    </row>
    <row r="10" spans="1:6" ht="30" customHeight="1" x14ac:dyDescent="0.2">
      <c r="A10" s="16" t="s">
        <v>105</v>
      </c>
      <c r="B10" s="7" t="s">
        <v>106</v>
      </c>
      <c r="C10" s="6" t="s">
        <v>83</v>
      </c>
      <c r="D10" s="7"/>
    </row>
    <row r="11" spans="1:6" ht="30" customHeight="1" x14ac:dyDescent="0.2">
      <c r="A11" s="16" t="s">
        <v>107</v>
      </c>
      <c r="B11" s="7" t="s">
        <v>108</v>
      </c>
      <c r="C11" s="6" t="s">
        <v>83</v>
      </c>
      <c r="D11" s="7"/>
    </row>
    <row r="12" spans="1:6" ht="30" customHeight="1" x14ac:dyDescent="0.2">
      <c r="A12" s="17" t="s">
        <v>109</v>
      </c>
      <c r="B12" s="18" t="s">
        <v>110</v>
      </c>
      <c r="C12" s="19" t="s">
        <v>83</v>
      </c>
      <c r="D12" s="18"/>
    </row>
    <row r="13" spans="1:6" ht="16" x14ac:dyDescent="0.2">
      <c r="A13" s="2" t="s">
        <v>111</v>
      </c>
      <c r="B13" s="20">
        <f>COUNTIF(C6:C12,"✅ Done")/7</f>
        <v>0.14285714285714285</v>
      </c>
      <c r="C13" s="30" t="str">
        <f>REPT("█",ROUND(B13*20,0))&amp;REPT("░",20-ROUND(B13*20,0))</f>
        <v>███░░░░░░░░░░░░░░░░░</v>
      </c>
      <c r="D13" s="24"/>
      <c r="E13" s="25" t="s">
        <v>112</v>
      </c>
      <c r="F13" s="24"/>
    </row>
  </sheetData>
  <mergeCells count="5">
    <mergeCell ref="A2:F2"/>
    <mergeCell ref="A1:F1"/>
    <mergeCell ref="E13:F13"/>
    <mergeCell ref="C13:D13"/>
    <mergeCell ref="A3:F3"/>
  </mergeCells>
  <conditionalFormatting sqref="C6:C12">
    <cfRule type="expression" dxfId="71" priority="1">
      <formula>$C6="✅ Done"</formula>
    </cfRule>
    <cfRule type="expression" dxfId="70" priority="2">
      <formula>$C6="▶ In progress"</formula>
    </cfRule>
    <cfRule type="expression" dxfId="69" priority="3">
      <formula>$C6="⏭ Skipped"</formula>
    </cfRule>
  </conditionalFormatting>
  <dataValidations count="1">
    <dataValidation type="list" allowBlank="1" errorTitle="Invalid status" error="Pick one of: ☐ Not started, ▶ In progress, ✅ Done, ⏭ Skipped" sqref="C6:C12" xr:uid="{00000000-0002-0000-0100-000000000000}">
      <formula1>"☐ Not started,▶ In progress,✅ Done,⏭ Skipped"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3"/>
  <sheetViews>
    <sheetView workbookViewId="0">
      <pane ySplit="5" topLeftCell="A6" activePane="bottomLeft" state="frozen"/>
      <selection pane="bottomLeft"/>
    </sheetView>
  </sheetViews>
  <sheetFormatPr baseColWidth="10" defaultColWidth="8.83203125" defaultRowHeight="15" x14ac:dyDescent="0.2"/>
  <cols>
    <col min="1" max="1" width="12" customWidth="1"/>
    <col min="2" max="2" width="78" customWidth="1"/>
    <col min="3" max="3" width="18" customWidth="1"/>
    <col min="4" max="4" width="34" customWidth="1"/>
    <col min="5" max="6" width="40" customWidth="1"/>
  </cols>
  <sheetData>
    <row r="1" spans="1:6" ht="26" customHeight="1" x14ac:dyDescent="0.2">
      <c r="A1" s="29" t="s">
        <v>113</v>
      </c>
      <c r="B1" s="24"/>
      <c r="C1" s="24"/>
      <c r="D1" s="24"/>
      <c r="E1" s="24"/>
      <c r="F1" s="24"/>
    </row>
    <row r="2" spans="1:6" x14ac:dyDescent="0.2">
      <c r="A2" s="28" t="s">
        <v>114</v>
      </c>
      <c r="B2" s="24"/>
      <c r="C2" s="24"/>
      <c r="D2" s="24"/>
      <c r="E2" s="24"/>
      <c r="F2" s="24"/>
    </row>
    <row r="3" spans="1:6" x14ac:dyDescent="0.2">
      <c r="A3" s="31" t="s">
        <v>115</v>
      </c>
      <c r="B3" s="24"/>
      <c r="C3" s="24"/>
      <c r="D3" s="24"/>
      <c r="E3" s="24"/>
      <c r="F3" s="24"/>
    </row>
    <row r="5" spans="1:6" ht="16" x14ac:dyDescent="0.2">
      <c r="A5" s="5" t="s">
        <v>94</v>
      </c>
      <c r="B5" s="5" t="s">
        <v>95</v>
      </c>
      <c r="C5" s="5" t="s">
        <v>9</v>
      </c>
      <c r="D5" s="5" t="s">
        <v>96</v>
      </c>
    </row>
    <row r="6" spans="1:6" ht="30" customHeight="1" x14ac:dyDescent="0.2">
      <c r="A6" s="16" t="s">
        <v>97</v>
      </c>
      <c r="B6" s="7" t="s">
        <v>116</v>
      </c>
      <c r="C6" s="6" t="s">
        <v>83</v>
      </c>
      <c r="D6" s="7"/>
    </row>
    <row r="7" spans="1:6" ht="30" customHeight="1" x14ac:dyDescent="0.2">
      <c r="A7" s="16" t="s">
        <v>99</v>
      </c>
      <c r="B7" s="7" t="s">
        <v>117</v>
      </c>
      <c r="C7" s="6" t="s">
        <v>83</v>
      </c>
      <c r="D7" s="7"/>
    </row>
    <row r="8" spans="1:6" ht="30" customHeight="1" x14ac:dyDescent="0.2">
      <c r="A8" s="16" t="s">
        <v>101</v>
      </c>
      <c r="B8" s="7" t="s">
        <v>118</v>
      </c>
      <c r="C8" s="6" t="s">
        <v>83</v>
      </c>
      <c r="D8" s="7"/>
    </row>
    <row r="9" spans="1:6" ht="30" customHeight="1" x14ac:dyDescent="0.2">
      <c r="A9" s="16" t="s">
        <v>103</v>
      </c>
      <c r="B9" s="7" t="s">
        <v>119</v>
      </c>
      <c r="C9" s="6" t="s">
        <v>83</v>
      </c>
      <c r="D9" s="7"/>
    </row>
    <row r="10" spans="1:6" ht="30" customHeight="1" x14ac:dyDescent="0.2">
      <c r="A10" s="16" t="s">
        <v>105</v>
      </c>
      <c r="B10" s="7" t="s">
        <v>120</v>
      </c>
      <c r="C10" s="6" t="s">
        <v>83</v>
      </c>
      <c r="D10" s="7"/>
    </row>
    <row r="11" spans="1:6" ht="30" customHeight="1" x14ac:dyDescent="0.2">
      <c r="A11" s="16" t="s">
        <v>107</v>
      </c>
      <c r="B11" s="7" t="s">
        <v>121</v>
      </c>
      <c r="C11" s="6" t="s">
        <v>83</v>
      </c>
      <c r="D11" s="7"/>
    </row>
    <row r="12" spans="1:6" ht="30" customHeight="1" x14ac:dyDescent="0.2">
      <c r="A12" s="17" t="s">
        <v>109</v>
      </c>
      <c r="B12" s="18" t="s">
        <v>122</v>
      </c>
      <c r="C12" s="19" t="s">
        <v>83</v>
      </c>
      <c r="D12" s="18"/>
    </row>
    <row r="13" spans="1:6" ht="16" x14ac:dyDescent="0.2">
      <c r="A13" s="2" t="s">
        <v>111</v>
      </c>
      <c r="B13" s="20">
        <f>COUNTIF(C6:C12,"✅ Done")/7</f>
        <v>0</v>
      </c>
      <c r="C13" s="30" t="str">
        <f>REPT("█",ROUND(B13*20,0))&amp;REPT("░",20-ROUND(B13*20,0))</f>
        <v>░░░░░░░░░░░░░░░░░░░░</v>
      </c>
      <c r="D13" s="24"/>
      <c r="E13" s="25" t="s">
        <v>123</v>
      </c>
      <c r="F13" s="24"/>
    </row>
  </sheetData>
  <mergeCells count="5">
    <mergeCell ref="A2:F2"/>
    <mergeCell ref="A1:F1"/>
    <mergeCell ref="E13:F13"/>
    <mergeCell ref="C13:D13"/>
    <mergeCell ref="A3:F3"/>
  </mergeCells>
  <conditionalFormatting sqref="C6:C12">
    <cfRule type="expression" dxfId="68" priority="1">
      <formula>$C6="✅ Done"</formula>
    </cfRule>
    <cfRule type="expression" dxfId="67" priority="2">
      <formula>$C6="▶ In progress"</formula>
    </cfRule>
    <cfRule type="expression" dxfId="66" priority="3">
      <formula>$C6="⏭ Skipped"</formula>
    </cfRule>
  </conditionalFormatting>
  <dataValidations count="1">
    <dataValidation type="list" allowBlank="1" errorTitle="Invalid status" error="Pick one of: ☐ Not started, ▶ In progress, ✅ Done, ⏭ Skipped" sqref="C6:C12" xr:uid="{00000000-0002-0000-0200-000000000000}">
      <formula1>"☐ Not started,▶ In progress,✅ Done,⏭ Skipped"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3"/>
  <sheetViews>
    <sheetView workbookViewId="0">
      <pane ySplit="5" topLeftCell="A6" activePane="bottomLeft" state="frozen"/>
      <selection pane="bottomLeft"/>
    </sheetView>
  </sheetViews>
  <sheetFormatPr baseColWidth="10" defaultColWidth="8.83203125" defaultRowHeight="15" x14ac:dyDescent="0.2"/>
  <cols>
    <col min="1" max="1" width="12" customWidth="1"/>
    <col min="2" max="2" width="78" customWidth="1"/>
    <col min="3" max="3" width="18" customWidth="1"/>
    <col min="4" max="4" width="34" customWidth="1"/>
    <col min="5" max="6" width="40" customWidth="1"/>
  </cols>
  <sheetData>
    <row r="1" spans="1:6" ht="26" customHeight="1" x14ac:dyDescent="0.2">
      <c r="A1" s="29" t="s">
        <v>124</v>
      </c>
      <c r="B1" s="24"/>
      <c r="C1" s="24"/>
      <c r="D1" s="24"/>
      <c r="E1" s="24"/>
      <c r="F1" s="24"/>
    </row>
    <row r="2" spans="1:6" x14ac:dyDescent="0.2">
      <c r="A2" s="28" t="s">
        <v>125</v>
      </c>
      <c r="B2" s="24"/>
      <c r="C2" s="24"/>
      <c r="D2" s="24"/>
      <c r="E2" s="24"/>
      <c r="F2" s="24"/>
    </row>
    <row r="3" spans="1:6" x14ac:dyDescent="0.2">
      <c r="A3" s="31" t="s">
        <v>126</v>
      </c>
      <c r="B3" s="24"/>
      <c r="C3" s="24"/>
      <c r="D3" s="24"/>
      <c r="E3" s="24"/>
      <c r="F3" s="24"/>
    </row>
    <row r="5" spans="1:6" ht="16" x14ac:dyDescent="0.2">
      <c r="A5" s="5" t="s">
        <v>94</v>
      </c>
      <c r="B5" s="5" t="s">
        <v>95</v>
      </c>
      <c r="C5" s="5" t="s">
        <v>9</v>
      </c>
      <c r="D5" s="5" t="s">
        <v>96</v>
      </c>
    </row>
    <row r="6" spans="1:6" ht="30" customHeight="1" x14ac:dyDescent="0.2">
      <c r="A6" s="16" t="s">
        <v>97</v>
      </c>
      <c r="B6" s="7" t="s">
        <v>127</v>
      </c>
      <c r="C6" s="6" t="s">
        <v>83</v>
      </c>
      <c r="D6" s="7"/>
    </row>
    <row r="7" spans="1:6" ht="30" customHeight="1" x14ac:dyDescent="0.2">
      <c r="A7" s="16" t="s">
        <v>99</v>
      </c>
      <c r="B7" s="7" t="s">
        <v>128</v>
      </c>
      <c r="C7" s="6" t="s">
        <v>83</v>
      </c>
      <c r="D7" s="7"/>
    </row>
    <row r="8" spans="1:6" ht="30" customHeight="1" x14ac:dyDescent="0.2">
      <c r="A8" s="16" t="s">
        <v>101</v>
      </c>
      <c r="B8" s="7" t="s">
        <v>129</v>
      </c>
      <c r="C8" s="6" t="s">
        <v>83</v>
      </c>
      <c r="D8" s="7"/>
    </row>
    <row r="9" spans="1:6" ht="30" customHeight="1" x14ac:dyDescent="0.2">
      <c r="A9" s="16" t="s">
        <v>103</v>
      </c>
      <c r="B9" s="7" t="s">
        <v>130</v>
      </c>
      <c r="C9" s="6" t="s">
        <v>83</v>
      </c>
      <c r="D9" s="7"/>
    </row>
    <row r="10" spans="1:6" ht="30" customHeight="1" x14ac:dyDescent="0.2">
      <c r="A10" s="16" t="s">
        <v>105</v>
      </c>
      <c r="B10" s="7" t="s">
        <v>131</v>
      </c>
      <c r="C10" s="6" t="s">
        <v>83</v>
      </c>
      <c r="D10" s="7"/>
    </row>
    <row r="11" spans="1:6" ht="30" customHeight="1" x14ac:dyDescent="0.2">
      <c r="A11" s="16" t="s">
        <v>107</v>
      </c>
      <c r="B11" s="7" t="s">
        <v>132</v>
      </c>
      <c r="C11" s="6" t="s">
        <v>83</v>
      </c>
      <c r="D11" s="7"/>
    </row>
    <row r="12" spans="1:6" ht="30" customHeight="1" x14ac:dyDescent="0.2">
      <c r="A12" s="17" t="s">
        <v>109</v>
      </c>
      <c r="B12" s="18" t="s">
        <v>133</v>
      </c>
      <c r="C12" s="19" t="s">
        <v>83</v>
      </c>
      <c r="D12" s="18"/>
    </row>
    <row r="13" spans="1:6" ht="16" x14ac:dyDescent="0.2">
      <c r="A13" s="2" t="s">
        <v>111</v>
      </c>
      <c r="B13" s="20">
        <f>COUNTIF(C6:C12,"✅ Done")/7</f>
        <v>0</v>
      </c>
      <c r="C13" s="30" t="str">
        <f>REPT("█",ROUND(B13*20,0))&amp;REPT("░",20-ROUND(B13*20,0))</f>
        <v>░░░░░░░░░░░░░░░░░░░░</v>
      </c>
      <c r="D13" s="24"/>
      <c r="E13" s="25" t="s">
        <v>134</v>
      </c>
      <c r="F13" s="24"/>
    </row>
  </sheetData>
  <mergeCells count="5">
    <mergeCell ref="A2:F2"/>
    <mergeCell ref="A1:F1"/>
    <mergeCell ref="E13:F13"/>
    <mergeCell ref="C13:D13"/>
    <mergeCell ref="A3:F3"/>
  </mergeCells>
  <conditionalFormatting sqref="C6:C12">
    <cfRule type="expression" dxfId="65" priority="1">
      <formula>$C6="✅ Done"</formula>
    </cfRule>
    <cfRule type="expression" dxfId="64" priority="2">
      <formula>$C6="▶ In progress"</formula>
    </cfRule>
    <cfRule type="expression" dxfId="63" priority="3">
      <formula>$C6="⏭ Skipped"</formula>
    </cfRule>
  </conditionalFormatting>
  <dataValidations count="1">
    <dataValidation type="list" allowBlank="1" errorTitle="Invalid status" error="Pick one of: ☐ Not started, ▶ In progress, ✅ Done, ⏭ Skipped" sqref="C6:C12" xr:uid="{00000000-0002-0000-0300-000000000000}">
      <formula1>"☐ Not started,▶ In progress,✅ Done,⏭ Skipped"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3"/>
  <sheetViews>
    <sheetView workbookViewId="0">
      <pane ySplit="5" topLeftCell="A6" activePane="bottomLeft" state="frozen"/>
      <selection pane="bottomLeft"/>
    </sheetView>
  </sheetViews>
  <sheetFormatPr baseColWidth="10" defaultColWidth="8.83203125" defaultRowHeight="15" x14ac:dyDescent="0.2"/>
  <cols>
    <col min="1" max="1" width="12" customWidth="1"/>
    <col min="2" max="2" width="78" customWidth="1"/>
    <col min="3" max="3" width="18" customWidth="1"/>
    <col min="4" max="4" width="34" customWidth="1"/>
    <col min="5" max="6" width="40" customWidth="1"/>
  </cols>
  <sheetData>
    <row r="1" spans="1:6" ht="26" customHeight="1" x14ac:dyDescent="0.2">
      <c r="A1" s="29" t="s">
        <v>135</v>
      </c>
      <c r="B1" s="24"/>
      <c r="C1" s="24"/>
      <c r="D1" s="24"/>
      <c r="E1" s="24"/>
      <c r="F1" s="24"/>
    </row>
    <row r="2" spans="1:6" x14ac:dyDescent="0.2">
      <c r="A2" s="28" t="s">
        <v>136</v>
      </c>
      <c r="B2" s="24"/>
      <c r="C2" s="24"/>
      <c r="D2" s="24"/>
      <c r="E2" s="24"/>
      <c r="F2" s="24"/>
    </row>
    <row r="3" spans="1:6" x14ac:dyDescent="0.2">
      <c r="A3" s="31" t="s">
        <v>137</v>
      </c>
      <c r="B3" s="24"/>
      <c r="C3" s="24"/>
      <c r="D3" s="24"/>
      <c r="E3" s="24"/>
      <c r="F3" s="24"/>
    </row>
    <row r="5" spans="1:6" ht="16" x14ac:dyDescent="0.2">
      <c r="A5" s="5" t="s">
        <v>94</v>
      </c>
      <c r="B5" s="5" t="s">
        <v>95</v>
      </c>
      <c r="C5" s="5" t="s">
        <v>9</v>
      </c>
      <c r="D5" s="5" t="s">
        <v>96</v>
      </c>
    </row>
    <row r="6" spans="1:6" ht="30" customHeight="1" x14ac:dyDescent="0.2">
      <c r="A6" s="16" t="s">
        <v>97</v>
      </c>
      <c r="B6" s="7" t="s">
        <v>138</v>
      </c>
      <c r="C6" s="6" t="s">
        <v>83</v>
      </c>
      <c r="D6" s="7"/>
    </row>
    <row r="7" spans="1:6" ht="30" customHeight="1" x14ac:dyDescent="0.2">
      <c r="A7" s="16" t="s">
        <v>99</v>
      </c>
      <c r="B7" s="7" t="s">
        <v>139</v>
      </c>
      <c r="C7" s="6" t="s">
        <v>83</v>
      </c>
      <c r="D7" s="7"/>
    </row>
    <row r="8" spans="1:6" ht="30" customHeight="1" x14ac:dyDescent="0.2">
      <c r="A8" s="16" t="s">
        <v>101</v>
      </c>
      <c r="B8" s="7" t="s">
        <v>140</v>
      </c>
      <c r="C8" s="6" t="s">
        <v>83</v>
      </c>
      <c r="D8" s="7"/>
    </row>
    <row r="9" spans="1:6" ht="30" customHeight="1" x14ac:dyDescent="0.2">
      <c r="A9" s="16" t="s">
        <v>103</v>
      </c>
      <c r="B9" s="7" t="s">
        <v>141</v>
      </c>
      <c r="C9" s="6" t="s">
        <v>83</v>
      </c>
      <c r="D9" s="7"/>
    </row>
    <row r="10" spans="1:6" ht="30" customHeight="1" x14ac:dyDescent="0.2">
      <c r="A10" s="16" t="s">
        <v>105</v>
      </c>
      <c r="B10" s="7" t="s">
        <v>142</v>
      </c>
      <c r="C10" s="6" t="s">
        <v>83</v>
      </c>
      <c r="D10" s="7"/>
    </row>
    <row r="11" spans="1:6" ht="30" customHeight="1" x14ac:dyDescent="0.2">
      <c r="A11" s="16" t="s">
        <v>107</v>
      </c>
      <c r="B11" s="7" t="s">
        <v>143</v>
      </c>
      <c r="C11" s="6" t="s">
        <v>83</v>
      </c>
      <c r="D11" s="7"/>
    </row>
    <row r="12" spans="1:6" ht="30" customHeight="1" x14ac:dyDescent="0.2">
      <c r="A12" s="17" t="s">
        <v>109</v>
      </c>
      <c r="B12" s="18" t="s">
        <v>144</v>
      </c>
      <c r="C12" s="19" t="s">
        <v>83</v>
      </c>
      <c r="D12" s="18"/>
    </row>
    <row r="13" spans="1:6" ht="16" x14ac:dyDescent="0.2">
      <c r="A13" s="2" t="s">
        <v>111</v>
      </c>
      <c r="B13" s="20">
        <f>COUNTIF(C6:C12,"✅ Done")/7</f>
        <v>0</v>
      </c>
      <c r="C13" s="30" t="str">
        <f>REPT("█",ROUND(B13*20,0))&amp;REPT("░",20-ROUND(B13*20,0))</f>
        <v>░░░░░░░░░░░░░░░░░░░░</v>
      </c>
      <c r="D13" s="24"/>
      <c r="E13" s="25" t="s">
        <v>145</v>
      </c>
      <c r="F13" s="24"/>
    </row>
  </sheetData>
  <mergeCells count="5">
    <mergeCell ref="A2:F2"/>
    <mergeCell ref="A1:F1"/>
    <mergeCell ref="E13:F13"/>
    <mergeCell ref="C13:D13"/>
    <mergeCell ref="A3:F3"/>
  </mergeCells>
  <conditionalFormatting sqref="C6:C12">
    <cfRule type="expression" dxfId="62" priority="1">
      <formula>$C6="✅ Done"</formula>
    </cfRule>
    <cfRule type="expression" dxfId="61" priority="2">
      <formula>$C6="▶ In progress"</formula>
    </cfRule>
    <cfRule type="expression" dxfId="60" priority="3">
      <formula>$C6="⏭ Skipped"</formula>
    </cfRule>
  </conditionalFormatting>
  <dataValidations count="1">
    <dataValidation type="list" allowBlank="1" errorTitle="Invalid status" error="Pick one of: ☐ Not started, ▶ In progress, ✅ Done, ⏭ Skipped" sqref="C6:C12" xr:uid="{00000000-0002-0000-0400-000000000000}">
      <formula1>"☐ Not started,▶ In progress,✅ Done,⏭ Skipped"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3"/>
  <sheetViews>
    <sheetView workbookViewId="0">
      <pane ySplit="5" topLeftCell="A6" activePane="bottomLeft" state="frozen"/>
      <selection pane="bottomLeft"/>
    </sheetView>
  </sheetViews>
  <sheetFormatPr baseColWidth="10" defaultColWidth="8.83203125" defaultRowHeight="15" x14ac:dyDescent="0.2"/>
  <cols>
    <col min="1" max="1" width="12" customWidth="1"/>
    <col min="2" max="2" width="78" customWidth="1"/>
    <col min="3" max="3" width="18" customWidth="1"/>
    <col min="4" max="4" width="34" customWidth="1"/>
    <col min="5" max="6" width="40" customWidth="1"/>
  </cols>
  <sheetData>
    <row r="1" spans="1:6" ht="26" customHeight="1" x14ac:dyDescent="0.2">
      <c r="A1" s="29" t="s">
        <v>146</v>
      </c>
      <c r="B1" s="24"/>
      <c r="C1" s="24"/>
      <c r="D1" s="24"/>
      <c r="E1" s="24"/>
      <c r="F1" s="24"/>
    </row>
    <row r="2" spans="1:6" x14ac:dyDescent="0.2">
      <c r="A2" s="28" t="s">
        <v>147</v>
      </c>
      <c r="B2" s="24"/>
      <c r="C2" s="24"/>
      <c r="D2" s="24"/>
      <c r="E2" s="24"/>
      <c r="F2" s="24"/>
    </row>
    <row r="3" spans="1:6" x14ac:dyDescent="0.2">
      <c r="A3" s="31" t="s">
        <v>148</v>
      </c>
      <c r="B3" s="24"/>
      <c r="C3" s="24"/>
      <c r="D3" s="24"/>
      <c r="E3" s="24"/>
      <c r="F3" s="24"/>
    </row>
    <row r="5" spans="1:6" ht="16" x14ac:dyDescent="0.2">
      <c r="A5" s="5" t="s">
        <v>94</v>
      </c>
      <c r="B5" s="5" t="s">
        <v>95</v>
      </c>
      <c r="C5" s="5" t="s">
        <v>9</v>
      </c>
      <c r="D5" s="5" t="s">
        <v>96</v>
      </c>
    </row>
    <row r="6" spans="1:6" ht="30" customHeight="1" x14ac:dyDescent="0.2">
      <c r="A6" s="16" t="s">
        <v>97</v>
      </c>
      <c r="B6" s="7" t="s">
        <v>149</v>
      </c>
      <c r="C6" s="6" t="s">
        <v>83</v>
      </c>
      <c r="D6" s="7"/>
    </row>
    <row r="7" spans="1:6" ht="30" customHeight="1" x14ac:dyDescent="0.2">
      <c r="A7" s="16" t="s">
        <v>99</v>
      </c>
      <c r="B7" s="7" t="s">
        <v>150</v>
      </c>
      <c r="C7" s="6" t="s">
        <v>83</v>
      </c>
      <c r="D7" s="7"/>
    </row>
    <row r="8" spans="1:6" ht="30" customHeight="1" x14ac:dyDescent="0.2">
      <c r="A8" s="16" t="s">
        <v>101</v>
      </c>
      <c r="B8" s="7" t="s">
        <v>151</v>
      </c>
      <c r="C8" s="6" t="s">
        <v>83</v>
      </c>
      <c r="D8" s="7"/>
    </row>
    <row r="9" spans="1:6" ht="30" customHeight="1" x14ac:dyDescent="0.2">
      <c r="A9" s="16" t="s">
        <v>103</v>
      </c>
      <c r="B9" s="7" t="s">
        <v>152</v>
      </c>
      <c r="C9" s="6" t="s">
        <v>83</v>
      </c>
      <c r="D9" s="7"/>
    </row>
    <row r="10" spans="1:6" ht="30" customHeight="1" x14ac:dyDescent="0.2">
      <c r="A10" s="16" t="s">
        <v>105</v>
      </c>
      <c r="B10" s="7" t="s">
        <v>153</v>
      </c>
      <c r="C10" s="6" t="s">
        <v>83</v>
      </c>
      <c r="D10" s="7"/>
    </row>
    <row r="11" spans="1:6" ht="30" customHeight="1" x14ac:dyDescent="0.2">
      <c r="A11" s="16" t="s">
        <v>107</v>
      </c>
      <c r="B11" s="7" t="s">
        <v>154</v>
      </c>
      <c r="C11" s="6" t="s">
        <v>83</v>
      </c>
      <c r="D11" s="7"/>
    </row>
    <row r="12" spans="1:6" ht="30" customHeight="1" x14ac:dyDescent="0.2">
      <c r="A12" s="17" t="s">
        <v>109</v>
      </c>
      <c r="B12" s="18" t="s">
        <v>155</v>
      </c>
      <c r="C12" s="19" t="s">
        <v>83</v>
      </c>
      <c r="D12" s="18"/>
    </row>
    <row r="13" spans="1:6" ht="16" x14ac:dyDescent="0.2">
      <c r="A13" s="2" t="s">
        <v>111</v>
      </c>
      <c r="B13" s="20">
        <f>COUNTIF(C6:C12,"✅ Done")/7</f>
        <v>0</v>
      </c>
      <c r="C13" s="30" t="str">
        <f>REPT("█",ROUND(B13*20,0))&amp;REPT("░",20-ROUND(B13*20,0))</f>
        <v>░░░░░░░░░░░░░░░░░░░░</v>
      </c>
      <c r="D13" s="24"/>
      <c r="E13" s="25" t="s">
        <v>156</v>
      </c>
      <c r="F13" s="24"/>
    </row>
  </sheetData>
  <mergeCells count="5">
    <mergeCell ref="A2:F2"/>
    <mergeCell ref="A1:F1"/>
    <mergeCell ref="E13:F13"/>
    <mergeCell ref="C13:D13"/>
    <mergeCell ref="A3:F3"/>
  </mergeCells>
  <conditionalFormatting sqref="C6:C12">
    <cfRule type="expression" dxfId="59" priority="1">
      <formula>$C6="✅ Done"</formula>
    </cfRule>
    <cfRule type="expression" dxfId="58" priority="2">
      <formula>$C6="▶ In progress"</formula>
    </cfRule>
    <cfRule type="expression" dxfId="57" priority="3">
      <formula>$C6="⏭ Skipped"</formula>
    </cfRule>
  </conditionalFormatting>
  <dataValidations count="1">
    <dataValidation type="list" allowBlank="1" errorTitle="Invalid status" error="Pick one of: ☐ Not started, ▶ In progress, ✅ Done, ⏭ Skipped" sqref="C6:C12" xr:uid="{00000000-0002-0000-0500-000000000000}">
      <formula1>"☐ Not started,▶ In progress,✅ Done,⏭ Skipped"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3"/>
  <sheetViews>
    <sheetView workbookViewId="0">
      <pane ySplit="5" topLeftCell="A6" activePane="bottomLeft" state="frozen"/>
      <selection pane="bottomLeft"/>
    </sheetView>
  </sheetViews>
  <sheetFormatPr baseColWidth="10" defaultColWidth="8.83203125" defaultRowHeight="15" x14ac:dyDescent="0.2"/>
  <cols>
    <col min="1" max="1" width="12" customWidth="1"/>
    <col min="2" max="2" width="78" customWidth="1"/>
    <col min="3" max="3" width="18" customWidth="1"/>
    <col min="4" max="4" width="34" customWidth="1"/>
    <col min="5" max="6" width="40" customWidth="1"/>
  </cols>
  <sheetData>
    <row r="1" spans="1:6" ht="26" customHeight="1" x14ac:dyDescent="0.2">
      <c r="A1" s="29" t="s">
        <v>157</v>
      </c>
      <c r="B1" s="24"/>
      <c r="C1" s="24"/>
      <c r="D1" s="24"/>
      <c r="E1" s="24"/>
      <c r="F1" s="24"/>
    </row>
    <row r="2" spans="1:6" x14ac:dyDescent="0.2">
      <c r="A2" s="28" t="s">
        <v>158</v>
      </c>
      <c r="B2" s="24"/>
      <c r="C2" s="24"/>
      <c r="D2" s="24"/>
      <c r="E2" s="24"/>
      <c r="F2" s="24"/>
    </row>
    <row r="3" spans="1:6" x14ac:dyDescent="0.2">
      <c r="A3" s="31" t="s">
        <v>159</v>
      </c>
      <c r="B3" s="24"/>
      <c r="C3" s="24"/>
      <c r="D3" s="24"/>
      <c r="E3" s="24"/>
      <c r="F3" s="24"/>
    </row>
    <row r="5" spans="1:6" ht="16" x14ac:dyDescent="0.2">
      <c r="A5" s="5" t="s">
        <v>94</v>
      </c>
      <c r="B5" s="5" t="s">
        <v>95</v>
      </c>
      <c r="C5" s="5" t="s">
        <v>9</v>
      </c>
      <c r="D5" s="5" t="s">
        <v>96</v>
      </c>
    </row>
    <row r="6" spans="1:6" ht="30" customHeight="1" x14ac:dyDescent="0.2">
      <c r="A6" s="16" t="s">
        <v>97</v>
      </c>
      <c r="B6" s="7" t="s">
        <v>160</v>
      </c>
      <c r="C6" s="6" t="s">
        <v>83</v>
      </c>
      <c r="D6" s="7"/>
    </row>
    <row r="7" spans="1:6" ht="30" customHeight="1" x14ac:dyDescent="0.2">
      <c r="A7" s="16" t="s">
        <v>99</v>
      </c>
      <c r="B7" s="7" t="s">
        <v>161</v>
      </c>
      <c r="C7" s="6" t="s">
        <v>83</v>
      </c>
      <c r="D7" s="7"/>
    </row>
    <row r="8" spans="1:6" ht="30" customHeight="1" x14ac:dyDescent="0.2">
      <c r="A8" s="16" t="s">
        <v>101</v>
      </c>
      <c r="B8" s="7" t="s">
        <v>162</v>
      </c>
      <c r="C8" s="6" t="s">
        <v>83</v>
      </c>
      <c r="D8" s="7"/>
    </row>
    <row r="9" spans="1:6" ht="30" customHeight="1" x14ac:dyDescent="0.2">
      <c r="A9" s="16" t="s">
        <v>103</v>
      </c>
      <c r="B9" s="7" t="s">
        <v>163</v>
      </c>
      <c r="C9" s="6" t="s">
        <v>83</v>
      </c>
      <c r="D9" s="7"/>
    </row>
    <row r="10" spans="1:6" ht="30" customHeight="1" x14ac:dyDescent="0.2">
      <c r="A10" s="16" t="s">
        <v>105</v>
      </c>
      <c r="B10" s="7" t="s">
        <v>164</v>
      </c>
      <c r="C10" s="6" t="s">
        <v>83</v>
      </c>
      <c r="D10" s="7"/>
    </row>
    <row r="11" spans="1:6" ht="30" customHeight="1" x14ac:dyDescent="0.2">
      <c r="A11" s="16" t="s">
        <v>107</v>
      </c>
      <c r="B11" s="7" t="s">
        <v>165</v>
      </c>
      <c r="C11" s="6" t="s">
        <v>83</v>
      </c>
      <c r="D11" s="7"/>
    </row>
    <row r="12" spans="1:6" ht="30" customHeight="1" x14ac:dyDescent="0.2">
      <c r="A12" s="17" t="s">
        <v>109</v>
      </c>
      <c r="B12" s="18" t="s">
        <v>166</v>
      </c>
      <c r="C12" s="19" t="s">
        <v>83</v>
      </c>
      <c r="D12" s="18"/>
    </row>
    <row r="13" spans="1:6" ht="16" x14ac:dyDescent="0.2">
      <c r="A13" s="2" t="s">
        <v>111</v>
      </c>
      <c r="B13" s="20">
        <f>COUNTIF(C6:C12,"✅ Done")/7</f>
        <v>0</v>
      </c>
      <c r="C13" s="30" t="str">
        <f>REPT("█",ROUND(B13*20,0))&amp;REPT("░",20-ROUND(B13*20,0))</f>
        <v>░░░░░░░░░░░░░░░░░░░░</v>
      </c>
      <c r="D13" s="24"/>
      <c r="E13" s="25" t="s">
        <v>167</v>
      </c>
      <c r="F13" s="24"/>
    </row>
  </sheetData>
  <mergeCells count="5">
    <mergeCell ref="A2:F2"/>
    <mergeCell ref="A1:F1"/>
    <mergeCell ref="E13:F13"/>
    <mergeCell ref="C13:D13"/>
    <mergeCell ref="A3:F3"/>
  </mergeCells>
  <conditionalFormatting sqref="C6:C12">
    <cfRule type="expression" dxfId="56" priority="1">
      <formula>$C6="✅ Done"</formula>
    </cfRule>
    <cfRule type="expression" dxfId="55" priority="2">
      <formula>$C6="▶ In progress"</formula>
    </cfRule>
    <cfRule type="expression" dxfId="54" priority="3">
      <formula>$C6="⏭ Skipped"</formula>
    </cfRule>
  </conditionalFormatting>
  <dataValidations count="1">
    <dataValidation type="list" allowBlank="1" errorTitle="Invalid status" error="Pick one of: ☐ Not started, ▶ In progress, ✅ Done, ⏭ Skipped" sqref="C6:C12" xr:uid="{00000000-0002-0000-0600-000000000000}">
      <formula1>"☐ Not started,▶ In progress,✅ Done,⏭ Skipped"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3"/>
  <sheetViews>
    <sheetView workbookViewId="0">
      <pane ySplit="5" topLeftCell="A6" activePane="bottomLeft" state="frozen"/>
      <selection pane="bottomLeft"/>
    </sheetView>
  </sheetViews>
  <sheetFormatPr baseColWidth="10" defaultColWidth="8.83203125" defaultRowHeight="15" x14ac:dyDescent="0.2"/>
  <cols>
    <col min="1" max="1" width="12" customWidth="1"/>
    <col min="2" max="2" width="78" customWidth="1"/>
    <col min="3" max="3" width="18" customWidth="1"/>
    <col min="4" max="4" width="34" customWidth="1"/>
    <col min="5" max="6" width="40" customWidth="1"/>
  </cols>
  <sheetData>
    <row r="1" spans="1:6" ht="26" customHeight="1" x14ac:dyDescent="0.2">
      <c r="A1" s="29" t="s">
        <v>168</v>
      </c>
      <c r="B1" s="24"/>
      <c r="C1" s="24"/>
      <c r="D1" s="24"/>
      <c r="E1" s="24"/>
      <c r="F1" s="24"/>
    </row>
    <row r="2" spans="1:6" x14ac:dyDescent="0.2">
      <c r="A2" s="28" t="s">
        <v>169</v>
      </c>
      <c r="B2" s="24"/>
      <c r="C2" s="24"/>
      <c r="D2" s="24"/>
      <c r="E2" s="24"/>
      <c r="F2" s="24"/>
    </row>
    <row r="3" spans="1:6" x14ac:dyDescent="0.2">
      <c r="A3" s="31" t="s">
        <v>170</v>
      </c>
      <c r="B3" s="24"/>
      <c r="C3" s="24"/>
      <c r="D3" s="24"/>
      <c r="E3" s="24"/>
      <c r="F3" s="24"/>
    </row>
    <row r="5" spans="1:6" ht="16" x14ac:dyDescent="0.2">
      <c r="A5" s="5" t="s">
        <v>94</v>
      </c>
      <c r="B5" s="5" t="s">
        <v>95</v>
      </c>
      <c r="C5" s="5" t="s">
        <v>9</v>
      </c>
      <c r="D5" s="5" t="s">
        <v>96</v>
      </c>
    </row>
    <row r="6" spans="1:6" ht="30" customHeight="1" x14ac:dyDescent="0.2">
      <c r="A6" s="16" t="s">
        <v>97</v>
      </c>
      <c r="B6" s="7" t="s">
        <v>171</v>
      </c>
      <c r="C6" s="6" t="s">
        <v>83</v>
      </c>
      <c r="D6" s="7"/>
    </row>
    <row r="7" spans="1:6" ht="30" customHeight="1" x14ac:dyDescent="0.2">
      <c r="A7" s="16" t="s">
        <v>99</v>
      </c>
      <c r="B7" s="7" t="s">
        <v>172</v>
      </c>
      <c r="C7" s="6" t="s">
        <v>83</v>
      </c>
      <c r="D7" s="7"/>
    </row>
    <row r="8" spans="1:6" ht="30" customHeight="1" x14ac:dyDescent="0.2">
      <c r="A8" s="16" t="s">
        <v>101</v>
      </c>
      <c r="B8" s="7" t="s">
        <v>173</v>
      </c>
      <c r="C8" s="6" t="s">
        <v>83</v>
      </c>
      <c r="D8" s="7"/>
    </row>
    <row r="9" spans="1:6" ht="30" customHeight="1" x14ac:dyDescent="0.2">
      <c r="A9" s="16" t="s">
        <v>103</v>
      </c>
      <c r="B9" s="7" t="s">
        <v>174</v>
      </c>
      <c r="C9" s="6" t="s">
        <v>83</v>
      </c>
      <c r="D9" s="7"/>
    </row>
    <row r="10" spans="1:6" ht="30" customHeight="1" x14ac:dyDescent="0.2">
      <c r="A10" s="16" t="s">
        <v>105</v>
      </c>
      <c r="B10" s="7" t="s">
        <v>175</v>
      </c>
      <c r="C10" s="6" t="s">
        <v>83</v>
      </c>
      <c r="D10" s="7"/>
    </row>
    <row r="11" spans="1:6" ht="30" customHeight="1" x14ac:dyDescent="0.2">
      <c r="A11" s="16" t="s">
        <v>107</v>
      </c>
      <c r="B11" s="7" t="s">
        <v>176</v>
      </c>
      <c r="C11" s="6" t="s">
        <v>83</v>
      </c>
      <c r="D11" s="7"/>
    </row>
    <row r="12" spans="1:6" ht="30" customHeight="1" x14ac:dyDescent="0.2">
      <c r="A12" s="17" t="s">
        <v>109</v>
      </c>
      <c r="B12" s="18" t="s">
        <v>177</v>
      </c>
      <c r="C12" s="19" t="s">
        <v>83</v>
      </c>
      <c r="D12" s="18"/>
    </row>
    <row r="13" spans="1:6" ht="16" x14ac:dyDescent="0.2">
      <c r="A13" s="2" t="s">
        <v>111</v>
      </c>
      <c r="B13" s="20">
        <f>COUNTIF(C6:C12,"✅ Done")/7</f>
        <v>0</v>
      </c>
      <c r="C13" s="30" t="str">
        <f>REPT("█",ROUND(B13*20,0))&amp;REPT("░",20-ROUND(B13*20,0))</f>
        <v>░░░░░░░░░░░░░░░░░░░░</v>
      </c>
      <c r="D13" s="24"/>
      <c r="E13" s="25" t="s">
        <v>178</v>
      </c>
      <c r="F13" s="24"/>
    </row>
  </sheetData>
  <mergeCells count="5">
    <mergeCell ref="A2:F2"/>
    <mergeCell ref="A1:F1"/>
    <mergeCell ref="E13:F13"/>
    <mergeCell ref="C13:D13"/>
    <mergeCell ref="A3:F3"/>
  </mergeCells>
  <conditionalFormatting sqref="C6:C12">
    <cfRule type="expression" dxfId="53" priority="1">
      <formula>$C6="✅ Done"</formula>
    </cfRule>
    <cfRule type="expression" dxfId="52" priority="2">
      <formula>$C6="▶ In progress"</formula>
    </cfRule>
    <cfRule type="expression" dxfId="51" priority="3">
      <formula>$C6="⏭ Skipped"</formula>
    </cfRule>
  </conditionalFormatting>
  <dataValidations count="1">
    <dataValidation type="list" allowBlank="1" errorTitle="Invalid status" error="Pick one of: ☐ Not started, ▶ In progress, ✅ Done, ⏭ Skipped" sqref="C6:C12" xr:uid="{00000000-0002-0000-0700-000000000000}">
      <formula1>"☐ Not started,▶ In progress,✅ Done,⏭ Skipped"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3"/>
  <sheetViews>
    <sheetView workbookViewId="0">
      <pane ySplit="5" topLeftCell="A6" activePane="bottomLeft" state="frozen"/>
      <selection pane="bottomLeft"/>
    </sheetView>
  </sheetViews>
  <sheetFormatPr baseColWidth="10" defaultColWidth="8.83203125" defaultRowHeight="15" x14ac:dyDescent="0.2"/>
  <cols>
    <col min="1" max="1" width="12" customWidth="1"/>
    <col min="2" max="2" width="78" customWidth="1"/>
    <col min="3" max="3" width="18" customWidth="1"/>
    <col min="4" max="4" width="34" customWidth="1"/>
    <col min="5" max="6" width="40" customWidth="1"/>
  </cols>
  <sheetData>
    <row r="1" spans="1:6" ht="26" customHeight="1" x14ac:dyDescent="0.2">
      <c r="A1" s="29" t="s">
        <v>179</v>
      </c>
      <c r="B1" s="24"/>
      <c r="C1" s="24"/>
      <c r="D1" s="24"/>
      <c r="E1" s="24"/>
      <c r="F1" s="24"/>
    </row>
    <row r="2" spans="1:6" x14ac:dyDescent="0.2">
      <c r="A2" s="28" t="s">
        <v>180</v>
      </c>
      <c r="B2" s="24"/>
      <c r="C2" s="24"/>
      <c r="D2" s="24"/>
      <c r="E2" s="24"/>
      <c r="F2" s="24"/>
    </row>
    <row r="3" spans="1:6" x14ac:dyDescent="0.2">
      <c r="A3" s="31" t="s">
        <v>181</v>
      </c>
      <c r="B3" s="24"/>
      <c r="C3" s="24"/>
      <c r="D3" s="24"/>
      <c r="E3" s="24"/>
      <c r="F3" s="24"/>
    </row>
    <row r="5" spans="1:6" ht="16" x14ac:dyDescent="0.2">
      <c r="A5" s="5" t="s">
        <v>94</v>
      </c>
      <c r="B5" s="5" t="s">
        <v>95</v>
      </c>
      <c r="C5" s="5" t="s">
        <v>9</v>
      </c>
      <c r="D5" s="5" t="s">
        <v>96</v>
      </c>
    </row>
    <row r="6" spans="1:6" ht="30" customHeight="1" x14ac:dyDescent="0.2">
      <c r="A6" s="16" t="s">
        <v>97</v>
      </c>
      <c r="B6" s="7" t="s">
        <v>182</v>
      </c>
      <c r="C6" s="6" t="s">
        <v>83</v>
      </c>
      <c r="D6" s="7"/>
    </row>
    <row r="7" spans="1:6" ht="30" customHeight="1" x14ac:dyDescent="0.2">
      <c r="A7" s="16" t="s">
        <v>99</v>
      </c>
      <c r="B7" s="7" t="s">
        <v>183</v>
      </c>
      <c r="C7" s="6" t="s">
        <v>83</v>
      </c>
      <c r="D7" s="7"/>
    </row>
    <row r="8" spans="1:6" ht="30" customHeight="1" x14ac:dyDescent="0.2">
      <c r="A8" s="16" t="s">
        <v>101</v>
      </c>
      <c r="B8" s="7" t="s">
        <v>184</v>
      </c>
      <c r="C8" s="6" t="s">
        <v>83</v>
      </c>
      <c r="D8" s="7"/>
    </row>
    <row r="9" spans="1:6" ht="30" customHeight="1" x14ac:dyDescent="0.2">
      <c r="A9" s="16" t="s">
        <v>103</v>
      </c>
      <c r="B9" s="7" t="s">
        <v>185</v>
      </c>
      <c r="C9" s="6" t="s">
        <v>83</v>
      </c>
      <c r="D9" s="7"/>
    </row>
    <row r="10" spans="1:6" ht="30" customHeight="1" x14ac:dyDescent="0.2">
      <c r="A10" s="16" t="s">
        <v>105</v>
      </c>
      <c r="B10" s="7" t="s">
        <v>186</v>
      </c>
      <c r="C10" s="6" t="s">
        <v>83</v>
      </c>
      <c r="D10" s="7"/>
    </row>
    <row r="11" spans="1:6" ht="30" customHeight="1" x14ac:dyDescent="0.2">
      <c r="A11" s="16" t="s">
        <v>107</v>
      </c>
      <c r="B11" s="7" t="s">
        <v>187</v>
      </c>
      <c r="C11" s="6" t="s">
        <v>83</v>
      </c>
      <c r="D11" s="7"/>
    </row>
    <row r="12" spans="1:6" ht="30" customHeight="1" x14ac:dyDescent="0.2">
      <c r="A12" s="17" t="s">
        <v>109</v>
      </c>
      <c r="B12" s="18" t="s">
        <v>188</v>
      </c>
      <c r="C12" s="19" t="s">
        <v>83</v>
      </c>
      <c r="D12" s="18"/>
    </row>
    <row r="13" spans="1:6" ht="16" x14ac:dyDescent="0.2">
      <c r="A13" s="2" t="s">
        <v>111</v>
      </c>
      <c r="B13" s="20">
        <f>COUNTIF(C6:C12,"✅ Done")/7</f>
        <v>0</v>
      </c>
      <c r="C13" s="30" t="str">
        <f>REPT("█",ROUND(B13*20,0))&amp;REPT("░",20-ROUND(B13*20,0))</f>
        <v>░░░░░░░░░░░░░░░░░░░░</v>
      </c>
      <c r="D13" s="24"/>
      <c r="E13" s="25" t="s">
        <v>189</v>
      </c>
      <c r="F13" s="24"/>
    </row>
  </sheetData>
  <mergeCells count="5">
    <mergeCell ref="A2:F2"/>
    <mergeCell ref="A1:F1"/>
    <mergeCell ref="E13:F13"/>
    <mergeCell ref="C13:D13"/>
    <mergeCell ref="A3:F3"/>
  </mergeCells>
  <conditionalFormatting sqref="C6:C12">
    <cfRule type="expression" dxfId="50" priority="1">
      <formula>$C6="✅ Done"</formula>
    </cfRule>
    <cfRule type="expression" dxfId="49" priority="2">
      <formula>$C6="▶ In progress"</formula>
    </cfRule>
    <cfRule type="expression" dxfId="48" priority="3">
      <formula>$C6="⏭ Skipped"</formula>
    </cfRule>
  </conditionalFormatting>
  <dataValidations count="1">
    <dataValidation type="list" allowBlank="1" errorTitle="Invalid status" error="Pick one of: ☐ Not started, ▶ In progress, ✅ Done, ⏭ Skipped" sqref="C6:C12" xr:uid="{00000000-0002-0000-0800-000000000000}">
      <formula1>"☐ Not started,▶ In progress,✅ Done,⏭ Skipped"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3"/>
  <sheetViews>
    <sheetView workbookViewId="0">
      <pane ySplit="5" topLeftCell="A6" activePane="bottomLeft" state="frozen"/>
      <selection pane="bottomLeft"/>
    </sheetView>
  </sheetViews>
  <sheetFormatPr baseColWidth="10" defaultColWidth="8.83203125" defaultRowHeight="15" x14ac:dyDescent="0.2"/>
  <cols>
    <col min="1" max="1" width="12" customWidth="1"/>
    <col min="2" max="2" width="78" customWidth="1"/>
    <col min="3" max="3" width="18" customWidth="1"/>
    <col min="4" max="4" width="34" customWidth="1"/>
    <col min="5" max="6" width="40" customWidth="1"/>
  </cols>
  <sheetData>
    <row r="1" spans="1:6" ht="26" customHeight="1" x14ac:dyDescent="0.2">
      <c r="A1" s="29" t="s">
        <v>190</v>
      </c>
      <c r="B1" s="24"/>
      <c r="C1" s="24"/>
      <c r="D1" s="24"/>
      <c r="E1" s="24"/>
      <c r="F1" s="24"/>
    </row>
    <row r="2" spans="1:6" x14ac:dyDescent="0.2">
      <c r="A2" s="28" t="s">
        <v>191</v>
      </c>
      <c r="B2" s="24"/>
      <c r="C2" s="24"/>
      <c r="D2" s="24"/>
      <c r="E2" s="24"/>
      <c r="F2" s="24"/>
    </row>
    <row r="3" spans="1:6" x14ac:dyDescent="0.2">
      <c r="A3" s="31" t="s">
        <v>192</v>
      </c>
      <c r="B3" s="24"/>
      <c r="C3" s="24"/>
      <c r="D3" s="24"/>
      <c r="E3" s="24"/>
      <c r="F3" s="24"/>
    </row>
    <row r="5" spans="1:6" ht="16" x14ac:dyDescent="0.2">
      <c r="A5" s="5" t="s">
        <v>94</v>
      </c>
      <c r="B5" s="5" t="s">
        <v>95</v>
      </c>
      <c r="C5" s="5" t="s">
        <v>9</v>
      </c>
      <c r="D5" s="5" t="s">
        <v>96</v>
      </c>
    </row>
    <row r="6" spans="1:6" ht="30" customHeight="1" x14ac:dyDescent="0.2">
      <c r="A6" s="16" t="s">
        <v>97</v>
      </c>
      <c r="B6" s="7" t="s">
        <v>193</v>
      </c>
      <c r="C6" s="6" t="s">
        <v>83</v>
      </c>
      <c r="D6" s="7"/>
    </row>
    <row r="7" spans="1:6" ht="30" customHeight="1" x14ac:dyDescent="0.2">
      <c r="A7" s="16" t="s">
        <v>99</v>
      </c>
      <c r="B7" s="7" t="s">
        <v>194</v>
      </c>
      <c r="C7" s="6" t="s">
        <v>83</v>
      </c>
      <c r="D7" s="7"/>
    </row>
    <row r="8" spans="1:6" ht="30" customHeight="1" x14ac:dyDescent="0.2">
      <c r="A8" s="16" t="s">
        <v>101</v>
      </c>
      <c r="B8" s="7" t="s">
        <v>195</v>
      </c>
      <c r="C8" s="6" t="s">
        <v>83</v>
      </c>
      <c r="D8" s="7"/>
    </row>
    <row r="9" spans="1:6" ht="30" customHeight="1" x14ac:dyDescent="0.2">
      <c r="A9" s="16" t="s">
        <v>103</v>
      </c>
      <c r="B9" s="7" t="s">
        <v>196</v>
      </c>
      <c r="C9" s="6" t="s">
        <v>83</v>
      </c>
      <c r="D9" s="7"/>
    </row>
    <row r="10" spans="1:6" ht="30" customHeight="1" x14ac:dyDescent="0.2">
      <c r="A10" s="16" t="s">
        <v>105</v>
      </c>
      <c r="B10" s="7" t="s">
        <v>197</v>
      </c>
      <c r="C10" s="6" t="s">
        <v>83</v>
      </c>
      <c r="D10" s="7"/>
    </row>
    <row r="11" spans="1:6" ht="30" customHeight="1" x14ac:dyDescent="0.2">
      <c r="A11" s="16" t="s">
        <v>107</v>
      </c>
      <c r="B11" s="7" t="s">
        <v>198</v>
      </c>
      <c r="C11" s="6" t="s">
        <v>83</v>
      </c>
      <c r="D11" s="7"/>
    </row>
    <row r="12" spans="1:6" ht="30" customHeight="1" x14ac:dyDescent="0.2">
      <c r="A12" s="17" t="s">
        <v>109</v>
      </c>
      <c r="B12" s="18" t="s">
        <v>199</v>
      </c>
      <c r="C12" s="19" t="s">
        <v>83</v>
      </c>
      <c r="D12" s="18"/>
    </row>
    <row r="13" spans="1:6" ht="16" x14ac:dyDescent="0.2">
      <c r="A13" s="2" t="s">
        <v>111</v>
      </c>
      <c r="B13" s="20">
        <f>COUNTIF(C6:C12,"✅ Done")/7</f>
        <v>0</v>
      </c>
      <c r="C13" s="30" t="str">
        <f>REPT("█",ROUND(B13*20,0))&amp;REPT("░",20-ROUND(B13*20,0))</f>
        <v>░░░░░░░░░░░░░░░░░░░░</v>
      </c>
      <c r="D13" s="24"/>
      <c r="E13" s="25" t="s">
        <v>200</v>
      </c>
      <c r="F13" s="24"/>
    </row>
  </sheetData>
  <mergeCells count="5">
    <mergeCell ref="A2:F2"/>
    <mergeCell ref="A1:F1"/>
    <mergeCell ref="E13:F13"/>
    <mergeCell ref="C13:D13"/>
    <mergeCell ref="A3:F3"/>
  </mergeCells>
  <conditionalFormatting sqref="C6:C12">
    <cfRule type="expression" dxfId="47" priority="1">
      <formula>$C6="✅ Done"</formula>
    </cfRule>
    <cfRule type="expression" dxfId="46" priority="2">
      <formula>$C6="▶ In progress"</formula>
    </cfRule>
    <cfRule type="expression" dxfId="45" priority="3">
      <formula>$C6="⏭ Skipped"</formula>
    </cfRule>
  </conditionalFormatting>
  <dataValidations count="1">
    <dataValidation type="list" allowBlank="1" errorTitle="Invalid status" error="Pick one of: ☐ Not started, ▶ In progress, ✅ Done, ⏭ Skipped" sqref="C6:C12" xr:uid="{00000000-0002-0000-0900-000000000000}">
      <formula1>"☐ Not started,▶ In progress,✅ Done,⏭ Skipped"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13"/>
  <sheetViews>
    <sheetView workbookViewId="0">
      <pane ySplit="5" topLeftCell="A6" activePane="bottomLeft" state="frozen"/>
      <selection pane="bottomLeft"/>
    </sheetView>
  </sheetViews>
  <sheetFormatPr baseColWidth="10" defaultColWidth="8.83203125" defaultRowHeight="15" x14ac:dyDescent="0.2"/>
  <cols>
    <col min="1" max="1" width="12" customWidth="1"/>
    <col min="2" max="2" width="78" customWidth="1"/>
    <col min="3" max="3" width="18" customWidth="1"/>
    <col min="4" max="4" width="34" customWidth="1"/>
    <col min="5" max="6" width="40" customWidth="1"/>
  </cols>
  <sheetData>
    <row r="1" spans="1:6" ht="26" customHeight="1" x14ac:dyDescent="0.2">
      <c r="A1" s="29" t="s">
        <v>201</v>
      </c>
      <c r="B1" s="24"/>
      <c r="C1" s="24"/>
      <c r="D1" s="24"/>
      <c r="E1" s="24"/>
      <c r="F1" s="24"/>
    </row>
    <row r="2" spans="1:6" x14ac:dyDescent="0.2">
      <c r="A2" s="28" t="s">
        <v>202</v>
      </c>
      <c r="B2" s="24"/>
      <c r="C2" s="24"/>
      <c r="D2" s="24"/>
      <c r="E2" s="24"/>
      <c r="F2" s="24"/>
    </row>
    <row r="3" spans="1:6" x14ac:dyDescent="0.2">
      <c r="A3" s="31" t="s">
        <v>203</v>
      </c>
      <c r="B3" s="24"/>
      <c r="C3" s="24"/>
      <c r="D3" s="24"/>
      <c r="E3" s="24"/>
      <c r="F3" s="24"/>
    </row>
    <row r="5" spans="1:6" ht="16" x14ac:dyDescent="0.2">
      <c r="A5" s="5" t="s">
        <v>94</v>
      </c>
      <c r="B5" s="5" t="s">
        <v>95</v>
      </c>
      <c r="C5" s="5" t="s">
        <v>9</v>
      </c>
      <c r="D5" s="5" t="s">
        <v>96</v>
      </c>
    </row>
    <row r="6" spans="1:6" ht="30" customHeight="1" x14ac:dyDescent="0.2">
      <c r="A6" s="16" t="s">
        <v>97</v>
      </c>
      <c r="B6" s="7" t="s">
        <v>204</v>
      </c>
      <c r="C6" s="6" t="s">
        <v>83</v>
      </c>
      <c r="D6" s="7"/>
    </row>
    <row r="7" spans="1:6" ht="30" customHeight="1" x14ac:dyDescent="0.2">
      <c r="A7" s="16" t="s">
        <v>99</v>
      </c>
      <c r="B7" s="7" t="s">
        <v>205</v>
      </c>
      <c r="C7" s="6" t="s">
        <v>83</v>
      </c>
      <c r="D7" s="7"/>
    </row>
    <row r="8" spans="1:6" ht="30" customHeight="1" x14ac:dyDescent="0.2">
      <c r="A8" s="16" t="s">
        <v>101</v>
      </c>
      <c r="B8" s="7" t="s">
        <v>206</v>
      </c>
      <c r="C8" s="6" t="s">
        <v>83</v>
      </c>
      <c r="D8" s="7"/>
    </row>
    <row r="9" spans="1:6" ht="30" customHeight="1" x14ac:dyDescent="0.2">
      <c r="A9" s="16" t="s">
        <v>103</v>
      </c>
      <c r="B9" s="7" t="s">
        <v>207</v>
      </c>
      <c r="C9" s="6" t="s">
        <v>83</v>
      </c>
      <c r="D9" s="7"/>
    </row>
    <row r="10" spans="1:6" ht="30" customHeight="1" x14ac:dyDescent="0.2">
      <c r="A10" s="16" t="s">
        <v>105</v>
      </c>
      <c r="B10" s="7" t="s">
        <v>208</v>
      </c>
      <c r="C10" s="6" t="s">
        <v>83</v>
      </c>
      <c r="D10" s="7"/>
    </row>
    <row r="11" spans="1:6" ht="30" customHeight="1" x14ac:dyDescent="0.2">
      <c r="A11" s="16" t="s">
        <v>107</v>
      </c>
      <c r="B11" s="7" t="s">
        <v>209</v>
      </c>
      <c r="C11" s="6" t="s">
        <v>83</v>
      </c>
      <c r="D11" s="7"/>
    </row>
    <row r="12" spans="1:6" ht="30" customHeight="1" x14ac:dyDescent="0.2">
      <c r="A12" s="17" t="s">
        <v>109</v>
      </c>
      <c r="B12" s="18" t="s">
        <v>210</v>
      </c>
      <c r="C12" s="19" t="s">
        <v>83</v>
      </c>
      <c r="D12" s="18"/>
    </row>
    <row r="13" spans="1:6" ht="16" x14ac:dyDescent="0.2">
      <c r="A13" s="2" t="s">
        <v>111</v>
      </c>
      <c r="B13" s="20">
        <f>COUNTIF(C6:C12,"✅ Done")/7</f>
        <v>0</v>
      </c>
      <c r="C13" s="30" t="str">
        <f>REPT("█",ROUND(B13*20,0))&amp;REPT("░",20-ROUND(B13*20,0))</f>
        <v>░░░░░░░░░░░░░░░░░░░░</v>
      </c>
      <c r="D13" s="24"/>
      <c r="E13" s="25" t="s">
        <v>211</v>
      </c>
      <c r="F13" s="24"/>
    </row>
  </sheetData>
  <mergeCells count="5">
    <mergeCell ref="A2:F2"/>
    <mergeCell ref="A1:F1"/>
    <mergeCell ref="E13:F13"/>
    <mergeCell ref="C13:D13"/>
    <mergeCell ref="A3:F3"/>
  </mergeCells>
  <conditionalFormatting sqref="C6:C12">
    <cfRule type="expression" dxfId="44" priority="1">
      <formula>$C6="✅ Done"</formula>
    </cfRule>
    <cfRule type="expression" dxfId="43" priority="2">
      <formula>$C6="▶ In progress"</formula>
    </cfRule>
    <cfRule type="expression" dxfId="42" priority="3">
      <formula>$C6="⏭ Skipped"</formula>
    </cfRule>
  </conditionalFormatting>
  <dataValidations count="1">
    <dataValidation type="list" allowBlank="1" errorTitle="Invalid status" error="Pick one of: ☐ Not started, ▶ In progress, ✅ Done, ⏭ Skipped" sqref="C6:C12" xr:uid="{00000000-0002-0000-0A00-000000000000}">
      <formula1>"☐ Not started,▶ In progress,✅ Done,⏭ Skipped"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13"/>
  <sheetViews>
    <sheetView workbookViewId="0">
      <pane ySplit="5" topLeftCell="A6" activePane="bottomLeft" state="frozen"/>
      <selection pane="bottomLeft"/>
    </sheetView>
  </sheetViews>
  <sheetFormatPr baseColWidth="10" defaultColWidth="8.83203125" defaultRowHeight="15" x14ac:dyDescent="0.2"/>
  <cols>
    <col min="1" max="1" width="12" customWidth="1"/>
    <col min="2" max="2" width="78" customWidth="1"/>
    <col min="3" max="3" width="18" customWidth="1"/>
    <col min="4" max="4" width="34" customWidth="1"/>
    <col min="5" max="6" width="40" customWidth="1"/>
  </cols>
  <sheetData>
    <row r="1" spans="1:6" ht="26" customHeight="1" x14ac:dyDescent="0.2">
      <c r="A1" s="29" t="s">
        <v>212</v>
      </c>
      <c r="B1" s="24"/>
      <c r="C1" s="24"/>
      <c r="D1" s="24"/>
      <c r="E1" s="24"/>
      <c r="F1" s="24"/>
    </row>
    <row r="2" spans="1:6" x14ac:dyDescent="0.2">
      <c r="A2" s="28" t="s">
        <v>213</v>
      </c>
      <c r="B2" s="24"/>
      <c r="C2" s="24"/>
      <c r="D2" s="24"/>
      <c r="E2" s="24"/>
      <c r="F2" s="24"/>
    </row>
    <row r="3" spans="1:6" x14ac:dyDescent="0.2">
      <c r="A3" s="31" t="s">
        <v>214</v>
      </c>
      <c r="B3" s="24"/>
      <c r="C3" s="24"/>
      <c r="D3" s="24"/>
      <c r="E3" s="24"/>
      <c r="F3" s="24"/>
    </row>
    <row r="5" spans="1:6" ht="16" x14ac:dyDescent="0.2">
      <c r="A5" s="5" t="s">
        <v>94</v>
      </c>
      <c r="B5" s="5" t="s">
        <v>95</v>
      </c>
      <c r="C5" s="5" t="s">
        <v>9</v>
      </c>
      <c r="D5" s="5" t="s">
        <v>96</v>
      </c>
    </row>
    <row r="6" spans="1:6" ht="30" customHeight="1" x14ac:dyDescent="0.2">
      <c r="A6" s="16" t="s">
        <v>97</v>
      </c>
      <c r="B6" s="7" t="s">
        <v>215</v>
      </c>
      <c r="C6" s="6" t="s">
        <v>83</v>
      </c>
      <c r="D6" s="7"/>
    </row>
    <row r="7" spans="1:6" ht="30" customHeight="1" x14ac:dyDescent="0.2">
      <c r="A7" s="16" t="s">
        <v>99</v>
      </c>
      <c r="B7" s="7" t="s">
        <v>216</v>
      </c>
      <c r="C7" s="6" t="s">
        <v>83</v>
      </c>
      <c r="D7" s="7"/>
    </row>
    <row r="8" spans="1:6" ht="30" customHeight="1" x14ac:dyDescent="0.2">
      <c r="A8" s="16" t="s">
        <v>101</v>
      </c>
      <c r="B8" s="7" t="s">
        <v>217</v>
      </c>
      <c r="C8" s="6" t="s">
        <v>83</v>
      </c>
      <c r="D8" s="7"/>
    </row>
    <row r="9" spans="1:6" ht="30" customHeight="1" x14ac:dyDescent="0.2">
      <c r="A9" s="16" t="s">
        <v>103</v>
      </c>
      <c r="B9" s="7" t="s">
        <v>218</v>
      </c>
      <c r="C9" s="6" t="s">
        <v>83</v>
      </c>
      <c r="D9" s="7"/>
    </row>
    <row r="10" spans="1:6" ht="30" customHeight="1" x14ac:dyDescent="0.2">
      <c r="A10" s="16" t="s">
        <v>105</v>
      </c>
      <c r="B10" s="7" t="s">
        <v>219</v>
      </c>
      <c r="C10" s="6" t="s">
        <v>83</v>
      </c>
      <c r="D10" s="7"/>
    </row>
    <row r="11" spans="1:6" ht="30" customHeight="1" x14ac:dyDescent="0.2">
      <c r="A11" s="16" t="s">
        <v>107</v>
      </c>
      <c r="B11" s="7" t="s">
        <v>220</v>
      </c>
      <c r="C11" s="6" t="s">
        <v>83</v>
      </c>
      <c r="D11" s="7"/>
    </row>
    <row r="12" spans="1:6" ht="30" customHeight="1" x14ac:dyDescent="0.2">
      <c r="A12" s="17" t="s">
        <v>109</v>
      </c>
      <c r="B12" s="18" t="s">
        <v>221</v>
      </c>
      <c r="C12" s="19" t="s">
        <v>83</v>
      </c>
      <c r="D12" s="18"/>
    </row>
    <row r="13" spans="1:6" ht="16" x14ac:dyDescent="0.2">
      <c r="A13" s="2" t="s">
        <v>111</v>
      </c>
      <c r="B13" s="20">
        <f>COUNTIF(C6:C12,"✅ Done")/7</f>
        <v>0</v>
      </c>
      <c r="C13" s="30" t="str">
        <f>REPT("█",ROUND(B13*20,0))&amp;REPT("░",20-ROUND(B13*20,0))</f>
        <v>░░░░░░░░░░░░░░░░░░░░</v>
      </c>
      <c r="D13" s="24"/>
      <c r="E13" s="25" t="s">
        <v>222</v>
      </c>
      <c r="F13" s="24"/>
    </row>
  </sheetData>
  <mergeCells count="5">
    <mergeCell ref="A2:F2"/>
    <mergeCell ref="A1:F1"/>
    <mergeCell ref="E13:F13"/>
    <mergeCell ref="C13:D13"/>
    <mergeCell ref="A3:F3"/>
  </mergeCells>
  <conditionalFormatting sqref="C6:C12">
    <cfRule type="expression" dxfId="41" priority="1">
      <formula>$C6="✅ Done"</formula>
    </cfRule>
    <cfRule type="expression" dxfId="40" priority="2">
      <formula>$C6="▶ In progress"</formula>
    </cfRule>
    <cfRule type="expression" dxfId="39" priority="3">
      <formula>$C6="⏭ Skipped"</formula>
    </cfRule>
  </conditionalFormatting>
  <dataValidations count="1">
    <dataValidation type="list" allowBlank="1" errorTitle="Invalid status" error="Pick one of: ☐ Not started, ▶ In progress, ✅ Done, ⏭ Skipped" sqref="C6:C12" xr:uid="{00000000-0002-0000-0B00-000000000000}">
      <formula1>"☐ Not started,▶ In progress,✅ Done,⏭ Skipped"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13"/>
  <sheetViews>
    <sheetView workbookViewId="0">
      <pane ySplit="5" topLeftCell="A6" activePane="bottomLeft" state="frozen"/>
      <selection pane="bottomLeft"/>
    </sheetView>
  </sheetViews>
  <sheetFormatPr baseColWidth="10" defaultColWidth="8.83203125" defaultRowHeight="15" x14ac:dyDescent="0.2"/>
  <cols>
    <col min="1" max="1" width="12" customWidth="1"/>
    <col min="2" max="2" width="78" customWidth="1"/>
    <col min="3" max="3" width="18" customWidth="1"/>
    <col min="4" max="4" width="34" customWidth="1"/>
    <col min="5" max="6" width="40" customWidth="1"/>
  </cols>
  <sheetData>
    <row r="1" spans="1:6" ht="26" customHeight="1" x14ac:dyDescent="0.2">
      <c r="A1" s="29" t="s">
        <v>223</v>
      </c>
      <c r="B1" s="24"/>
      <c r="C1" s="24"/>
      <c r="D1" s="24"/>
      <c r="E1" s="24"/>
      <c r="F1" s="24"/>
    </row>
    <row r="2" spans="1:6" x14ac:dyDescent="0.2">
      <c r="A2" s="28" t="s">
        <v>224</v>
      </c>
      <c r="B2" s="24"/>
      <c r="C2" s="24"/>
      <c r="D2" s="24"/>
      <c r="E2" s="24"/>
      <c r="F2" s="24"/>
    </row>
    <row r="3" spans="1:6" x14ac:dyDescent="0.2">
      <c r="A3" s="31" t="s">
        <v>225</v>
      </c>
      <c r="B3" s="24"/>
      <c r="C3" s="24"/>
      <c r="D3" s="24"/>
      <c r="E3" s="24"/>
      <c r="F3" s="24"/>
    </row>
    <row r="5" spans="1:6" ht="16" x14ac:dyDescent="0.2">
      <c r="A5" s="5" t="s">
        <v>94</v>
      </c>
      <c r="B5" s="5" t="s">
        <v>95</v>
      </c>
      <c r="C5" s="5" t="s">
        <v>9</v>
      </c>
      <c r="D5" s="5" t="s">
        <v>96</v>
      </c>
    </row>
    <row r="6" spans="1:6" ht="30" customHeight="1" x14ac:dyDescent="0.2">
      <c r="A6" s="16" t="s">
        <v>97</v>
      </c>
      <c r="B6" s="7" t="s">
        <v>226</v>
      </c>
      <c r="C6" s="6" t="s">
        <v>83</v>
      </c>
      <c r="D6" s="7"/>
    </row>
    <row r="7" spans="1:6" ht="30" customHeight="1" x14ac:dyDescent="0.2">
      <c r="A7" s="16" t="s">
        <v>99</v>
      </c>
      <c r="B7" s="7" t="s">
        <v>227</v>
      </c>
      <c r="C7" s="6" t="s">
        <v>83</v>
      </c>
      <c r="D7" s="7"/>
    </row>
    <row r="8" spans="1:6" ht="30" customHeight="1" x14ac:dyDescent="0.2">
      <c r="A8" s="16" t="s">
        <v>101</v>
      </c>
      <c r="B8" s="7" t="s">
        <v>228</v>
      </c>
      <c r="C8" s="6" t="s">
        <v>83</v>
      </c>
      <c r="D8" s="7"/>
    </row>
    <row r="9" spans="1:6" ht="30" customHeight="1" x14ac:dyDescent="0.2">
      <c r="A9" s="16" t="s">
        <v>103</v>
      </c>
      <c r="B9" s="7" t="s">
        <v>229</v>
      </c>
      <c r="C9" s="6" t="s">
        <v>83</v>
      </c>
      <c r="D9" s="7"/>
    </row>
    <row r="10" spans="1:6" ht="30" customHeight="1" x14ac:dyDescent="0.2">
      <c r="A10" s="16" t="s">
        <v>105</v>
      </c>
      <c r="B10" s="7" t="s">
        <v>230</v>
      </c>
      <c r="C10" s="6" t="s">
        <v>83</v>
      </c>
      <c r="D10" s="7"/>
    </row>
    <row r="11" spans="1:6" ht="30" customHeight="1" x14ac:dyDescent="0.2">
      <c r="A11" s="16" t="s">
        <v>107</v>
      </c>
      <c r="B11" s="7" t="s">
        <v>231</v>
      </c>
      <c r="C11" s="6" t="s">
        <v>83</v>
      </c>
      <c r="D11" s="7"/>
    </row>
    <row r="12" spans="1:6" ht="30" customHeight="1" x14ac:dyDescent="0.2">
      <c r="A12" s="17" t="s">
        <v>109</v>
      </c>
      <c r="B12" s="18" t="s">
        <v>232</v>
      </c>
      <c r="C12" s="19" t="s">
        <v>83</v>
      </c>
      <c r="D12" s="18"/>
    </row>
    <row r="13" spans="1:6" ht="16" x14ac:dyDescent="0.2">
      <c r="A13" s="2" t="s">
        <v>111</v>
      </c>
      <c r="B13" s="20">
        <f>COUNTIF(C6:C12,"✅ Done")/7</f>
        <v>0</v>
      </c>
      <c r="C13" s="30" t="str">
        <f>REPT("█",ROUND(B13*20,0))&amp;REPT("░",20-ROUND(B13*20,0))</f>
        <v>░░░░░░░░░░░░░░░░░░░░</v>
      </c>
      <c r="D13" s="24"/>
      <c r="E13" s="25" t="s">
        <v>233</v>
      </c>
      <c r="F13" s="24"/>
    </row>
  </sheetData>
  <mergeCells count="5">
    <mergeCell ref="A2:F2"/>
    <mergeCell ref="A1:F1"/>
    <mergeCell ref="E13:F13"/>
    <mergeCell ref="C13:D13"/>
    <mergeCell ref="A3:F3"/>
  </mergeCells>
  <conditionalFormatting sqref="C6:C12">
    <cfRule type="expression" dxfId="38" priority="1">
      <formula>$C6="✅ Done"</formula>
    </cfRule>
    <cfRule type="expression" dxfId="37" priority="2">
      <formula>$C6="▶ In progress"</formula>
    </cfRule>
    <cfRule type="expression" dxfId="36" priority="3">
      <formula>$C6="⏭ Skipped"</formula>
    </cfRule>
  </conditionalFormatting>
  <dataValidations count="1">
    <dataValidation type="list" allowBlank="1" errorTitle="Invalid status" error="Pick one of: ☐ Not started, ▶ In progress, ✅ Done, ⏭ Skipped" sqref="C6:C12" xr:uid="{00000000-0002-0000-0C00-000000000000}">
      <formula1>"☐ Not started,▶ In progress,✅ Done,⏭ Skipped"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13"/>
  <sheetViews>
    <sheetView workbookViewId="0">
      <pane ySplit="5" topLeftCell="A6" activePane="bottomLeft" state="frozen"/>
      <selection pane="bottomLeft"/>
    </sheetView>
  </sheetViews>
  <sheetFormatPr baseColWidth="10" defaultColWidth="8.83203125" defaultRowHeight="15" x14ac:dyDescent="0.2"/>
  <cols>
    <col min="1" max="1" width="12" customWidth="1"/>
    <col min="2" max="2" width="78" customWidth="1"/>
    <col min="3" max="3" width="18" customWidth="1"/>
    <col min="4" max="4" width="34" customWidth="1"/>
    <col min="5" max="6" width="40" customWidth="1"/>
  </cols>
  <sheetData>
    <row r="1" spans="1:6" ht="26" customHeight="1" x14ac:dyDescent="0.2">
      <c r="A1" s="29" t="s">
        <v>234</v>
      </c>
      <c r="B1" s="24"/>
      <c r="C1" s="24"/>
      <c r="D1" s="24"/>
      <c r="E1" s="24"/>
      <c r="F1" s="24"/>
    </row>
    <row r="2" spans="1:6" x14ac:dyDescent="0.2">
      <c r="A2" s="28" t="s">
        <v>235</v>
      </c>
      <c r="B2" s="24"/>
      <c r="C2" s="24"/>
      <c r="D2" s="24"/>
      <c r="E2" s="24"/>
      <c r="F2" s="24"/>
    </row>
    <row r="3" spans="1:6" x14ac:dyDescent="0.2">
      <c r="A3" s="31" t="s">
        <v>236</v>
      </c>
      <c r="B3" s="24"/>
      <c r="C3" s="24"/>
      <c r="D3" s="24"/>
      <c r="E3" s="24"/>
      <c r="F3" s="24"/>
    </row>
    <row r="5" spans="1:6" ht="16" x14ac:dyDescent="0.2">
      <c r="A5" s="5" t="s">
        <v>94</v>
      </c>
      <c r="B5" s="5" t="s">
        <v>95</v>
      </c>
      <c r="C5" s="5" t="s">
        <v>9</v>
      </c>
      <c r="D5" s="5" t="s">
        <v>96</v>
      </c>
    </row>
    <row r="6" spans="1:6" ht="30" customHeight="1" x14ac:dyDescent="0.2">
      <c r="A6" s="16" t="s">
        <v>97</v>
      </c>
      <c r="B6" s="7" t="s">
        <v>237</v>
      </c>
      <c r="C6" s="6" t="s">
        <v>83</v>
      </c>
      <c r="D6" s="7"/>
    </row>
    <row r="7" spans="1:6" ht="30" customHeight="1" x14ac:dyDescent="0.2">
      <c r="A7" s="16" t="s">
        <v>99</v>
      </c>
      <c r="B7" s="7" t="s">
        <v>238</v>
      </c>
      <c r="C7" s="6" t="s">
        <v>83</v>
      </c>
      <c r="D7" s="7"/>
    </row>
    <row r="8" spans="1:6" ht="30" customHeight="1" x14ac:dyDescent="0.2">
      <c r="A8" s="16" t="s">
        <v>101</v>
      </c>
      <c r="B8" s="7" t="s">
        <v>239</v>
      </c>
      <c r="C8" s="6" t="s">
        <v>83</v>
      </c>
      <c r="D8" s="7"/>
    </row>
    <row r="9" spans="1:6" ht="30" customHeight="1" x14ac:dyDescent="0.2">
      <c r="A9" s="16" t="s">
        <v>103</v>
      </c>
      <c r="B9" s="7" t="s">
        <v>240</v>
      </c>
      <c r="C9" s="6" t="s">
        <v>83</v>
      </c>
      <c r="D9" s="7"/>
    </row>
    <row r="10" spans="1:6" ht="30" customHeight="1" x14ac:dyDescent="0.2">
      <c r="A10" s="16" t="s">
        <v>105</v>
      </c>
      <c r="B10" s="7" t="s">
        <v>241</v>
      </c>
      <c r="C10" s="6" t="s">
        <v>83</v>
      </c>
      <c r="D10" s="7"/>
    </row>
    <row r="11" spans="1:6" ht="30" customHeight="1" x14ac:dyDescent="0.2">
      <c r="A11" s="16" t="s">
        <v>107</v>
      </c>
      <c r="B11" s="7" t="s">
        <v>242</v>
      </c>
      <c r="C11" s="6" t="s">
        <v>83</v>
      </c>
      <c r="D11" s="7"/>
    </row>
    <row r="12" spans="1:6" ht="30" customHeight="1" x14ac:dyDescent="0.2">
      <c r="A12" s="17" t="s">
        <v>109</v>
      </c>
      <c r="B12" s="18" t="s">
        <v>243</v>
      </c>
      <c r="C12" s="19" t="s">
        <v>83</v>
      </c>
      <c r="D12" s="18"/>
    </row>
    <row r="13" spans="1:6" ht="16" x14ac:dyDescent="0.2">
      <c r="A13" s="2" t="s">
        <v>111</v>
      </c>
      <c r="B13" s="20">
        <f>COUNTIF(C6:C12,"✅ Done")/7</f>
        <v>0</v>
      </c>
      <c r="C13" s="30" t="str">
        <f>REPT("█",ROUND(B13*20,0))&amp;REPT("░",20-ROUND(B13*20,0))</f>
        <v>░░░░░░░░░░░░░░░░░░░░</v>
      </c>
      <c r="D13" s="24"/>
      <c r="E13" s="25" t="s">
        <v>244</v>
      </c>
      <c r="F13" s="24"/>
    </row>
  </sheetData>
  <mergeCells count="5">
    <mergeCell ref="A2:F2"/>
    <mergeCell ref="A1:F1"/>
    <mergeCell ref="E13:F13"/>
    <mergeCell ref="C13:D13"/>
    <mergeCell ref="A3:F3"/>
  </mergeCells>
  <conditionalFormatting sqref="C6:C12">
    <cfRule type="expression" dxfId="35" priority="1">
      <formula>$C6="✅ Done"</formula>
    </cfRule>
    <cfRule type="expression" dxfId="34" priority="2">
      <formula>$C6="▶ In progress"</formula>
    </cfRule>
    <cfRule type="expression" dxfId="33" priority="3">
      <formula>$C6="⏭ Skipped"</formula>
    </cfRule>
  </conditionalFormatting>
  <dataValidations count="1">
    <dataValidation type="list" allowBlank="1" errorTitle="Invalid status" error="Pick one of: ☐ Not started, ▶ In progress, ✅ Done, ⏭ Skipped" sqref="C6:C12" xr:uid="{00000000-0002-0000-0D00-000000000000}">
      <formula1>"☐ Not started,▶ In progress,✅ Done,⏭ Skipped"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13"/>
  <sheetViews>
    <sheetView workbookViewId="0">
      <pane ySplit="5" topLeftCell="A6" activePane="bottomLeft" state="frozen"/>
      <selection pane="bottomLeft"/>
    </sheetView>
  </sheetViews>
  <sheetFormatPr baseColWidth="10" defaultColWidth="8.83203125" defaultRowHeight="15" x14ac:dyDescent="0.2"/>
  <cols>
    <col min="1" max="1" width="12" customWidth="1"/>
    <col min="2" max="2" width="78" customWidth="1"/>
    <col min="3" max="3" width="18" customWidth="1"/>
    <col min="4" max="4" width="34" customWidth="1"/>
    <col min="5" max="6" width="40" customWidth="1"/>
  </cols>
  <sheetData>
    <row r="1" spans="1:6" ht="26" customHeight="1" x14ac:dyDescent="0.2">
      <c r="A1" s="29" t="s">
        <v>245</v>
      </c>
      <c r="B1" s="24"/>
      <c r="C1" s="24"/>
      <c r="D1" s="24"/>
      <c r="E1" s="24"/>
      <c r="F1" s="24"/>
    </row>
    <row r="2" spans="1:6" x14ac:dyDescent="0.2">
      <c r="A2" s="28" t="s">
        <v>246</v>
      </c>
      <c r="B2" s="24"/>
      <c r="C2" s="24"/>
      <c r="D2" s="24"/>
      <c r="E2" s="24"/>
      <c r="F2" s="24"/>
    </row>
    <row r="3" spans="1:6" x14ac:dyDescent="0.2">
      <c r="A3" s="31" t="s">
        <v>247</v>
      </c>
      <c r="B3" s="24"/>
      <c r="C3" s="24"/>
      <c r="D3" s="24"/>
      <c r="E3" s="24"/>
      <c r="F3" s="24"/>
    </row>
    <row r="5" spans="1:6" ht="16" x14ac:dyDescent="0.2">
      <c r="A5" s="5" t="s">
        <v>94</v>
      </c>
      <c r="B5" s="5" t="s">
        <v>95</v>
      </c>
      <c r="C5" s="5" t="s">
        <v>9</v>
      </c>
      <c r="D5" s="5" t="s">
        <v>96</v>
      </c>
    </row>
    <row r="6" spans="1:6" ht="30" customHeight="1" x14ac:dyDescent="0.2">
      <c r="A6" s="16" t="s">
        <v>97</v>
      </c>
      <c r="B6" s="7" t="s">
        <v>248</v>
      </c>
      <c r="C6" s="6" t="s">
        <v>83</v>
      </c>
      <c r="D6" s="7"/>
    </row>
    <row r="7" spans="1:6" ht="30" customHeight="1" x14ac:dyDescent="0.2">
      <c r="A7" s="16" t="s">
        <v>99</v>
      </c>
      <c r="B7" s="7" t="s">
        <v>249</v>
      </c>
      <c r="C7" s="6" t="s">
        <v>83</v>
      </c>
      <c r="D7" s="7"/>
    </row>
    <row r="8" spans="1:6" ht="30" customHeight="1" x14ac:dyDescent="0.2">
      <c r="A8" s="16" t="s">
        <v>101</v>
      </c>
      <c r="B8" s="7" t="s">
        <v>250</v>
      </c>
      <c r="C8" s="6" t="s">
        <v>83</v>
      </c>
      <c r="D8" s="7"/>
    </row>
    <row r="9" spans="1:6" ht="30" customHeight="1" x14ac:dyDescent="0.2">
      <c r="A9" s="16" t="s">
        <v>103</v>
      </c>
      <c r="B9" s="7" t="s">
        <v>251</v>
      </c>
      <c r="C9" s="6" t="s">
        <v>83</v>
      </c>
      <c r="D9" s="7"/>
    </row>
    <row r="10" spans="1:6" ht="30" customHeight="1" x14ac:dyDescent="0.2">
      <c r="A10" s="16" t="s">
        <v>105</v>
      </c>
      <c r="B10" s="7" t="s">
        <v>252</v>
      </c>
      <c r="C10" s="6" t="s">
        <v>83</v>
      </c>
      <c r="D10" s="7"/>
    </row>
    <row r="11" spans="1:6" ht="30" customHeight="1" x14ac:dyDescent="0.2">
      <c r="A11" s="16" t="s">
        <v>107</v>
      </c>
      <c r="B11" s="7" t="s">
        <v>253</v>
      </c>
      <c r="C11" s="6" t="s">
        <v>83</v>
      </c>
      <c r="D11" s="7"/>
    </row>
    <row r="12" spans="1:6" ht="30" customHeight="1" x14ac:dyDescent="0.2">
      <c r="A12" s="17" t="s">
        <v>109</v>
      </c>
      <c r="B12" s="18" t="s">
        <v>254</v>
      </c>
      <c r="C12" s="19" t="s">
        <v>83</v>
      </c>
      <c r="D12" s="18"/>
    </row>
    <row r="13" spans="1:6" ht="16" x14ac:dyDescent="0.2">
      <c r="A13" s="2" t="s">
        <v>111</v>
      </c>
      <c r="B13" s="20">
        <f>COUNTIF(C6:C12,"✅ Done")/7</f>
        <v>0</v>
      </c>
      <c r="C13" s="30" t="str">
        <f>REPT("█",ROUND(B13*20,0))&amp;REPT("░",20-ROUND(B13*20,0))</f>
        <v>░░░░░░░░░░░░░░░░░░░░</v>
      </c>
      <c r="D13" s="24"/>
      <c r="E13" s="25" t="s">
        <v>255</v>
      </c>
      <c r="F13" s="24"/>
    </row>
  </sheetData>
  <mergeCells count="5">
    <mergeCell ref="A2:F2"/>
    <mergeCell ref="A1:F1"/>
    <mergeCell ref="E13:F13"/>
    <mergeCell ref="C13:D13"/>
    <mergeCell ref="A3:F3"/>
  </mergeCells>
  <conditionalFormatting sqref="C6:C12">
    <cfRule type="expression" dxfId="32" priority="1">
      <formula>$C6="✅ Done"</formula>
    </cfRule>
    <cfRule type="expression" dxfId="31" priority="2">
      <formula>$C6="▶ In progress"</formula>
    </cfRule>
    <cfRule type="expression" dxfId="30" priority="3">
      <formula>$C6="⏭ Skipped"</formula>
    </cfRule>
  </conditionalFormatting>
  <dataValidations count="1">
    <dataValidation type="list" allowBlank="1" errorTitle="Invalid status" error="Pick one of: ☐ Not started, ▶ In progress, ✅ Done, ⏭ Skipped" sqref="C6:C12" xr:uid="{00000000-0002-0000-0E00-000000000000}">
      <formula1>"☐ Not started,▶ In progress,✅ Done,⏭ Skipped"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13"/>
  <sheetViews>
    <sheetView workbookViewId="0">
      <pane ySplit="5" topLeftCell="A6" activePane="bottomLeft" state="frozen"/>
      <selection pane="bottomLeft"/>
    </sheetView>
  </sheetViews>
  <sheetFormatPr baseColWidth="10" defaultColWidth="8.83203125" defaultRowHeight="15" x14ac:dyDescent="0.2"/>
  <cols>
    <col min="1" max="1" width="12" customWidth="1"/>
    <col min="2" max="2" width="78" customWidth="1"/>
    <col min="3" max="3" width="18" customWidth="1"/>
    <col min="4" max="4" width="34" customWidth="1"/>
    <col min="5" max="6" width="40" customWidth="1"/>
  </cols>
  <sheetData>
    <row r="1" spans="1:6" ht="26" customHeight="1" x14ac:dyDescent="0.2">
      <c r="A1" s="29" t="s">
        <v>256</v>
      </c>
      <c r="B1" s="24"/>
      <c r="C1" s="24"/>
      <c r="D1" s="24"/>
      <c r="E1" s="24"/>
      <c r="F1" s="24"/>
    </row>
    <row r="2" spans="1:6" x14ac:dyDescent="0.2">
      <c r="A2" s="28" t="s">
        <v>257</v>
      </c>
      <c r="B2" s="24"/>
      <c r="C2" s="24"/>
      <c r="D2" s="24"/>
      <c r="E2" s="24"/>
      <c r="F2" s="24"/>
    </row>
    <row r="3" spans="1:6" x14ac:dyDescent="0.2">
      <c r="A3" s="31" t="s">
        <v>258</v>
      </c>
      <c r="B3" s="24"/>
      <c r="C3" s="24"/>
      <c r="D3" s="24"/>
      <c r="E3" s="24"/>
      <c r="F3" s="24"/>
    </row>
    <row r="5" spans="1:6" ht="16" x14ac:dyDescent="0.2">
      <c r="A5" s="5" t="s">
        <v>94</v>
      </c>
      <c r="B5" s="5" t="s">
        <v>95</v>
      </c>
      <c r="C5" s="5" t="s">
        <v>9</v>
      </c>
      <c r="D5" s="5" t="s">
        <v>96</v>
      </c>
    </row>
    <row r="6" spans="1:6" ht="30" customHeight="1" x14ac:dyDescent="0.2">
      <c r="A6" s="16" t="s">
        <v>97</v>
      </c>
      <c r="B6" s="7" t="s">
        <v>259</v>
      </c>
      <c r="C6" s="6" t="s">
        <v>83</v>
      </c>
      <c r="D6" s="7"/>
    </row>
    <row r="7" spans="1:6" ht="30" customHeight="1" x14ac:dyDescent="0.2">
      <c r="A7" s="16" t="s">
        <v>99</v>
      </c>
      <c r="B7" s="7" t="s">
        <v>260</v>
      </c>
      <c r="C7" s="6" t="s">
        <v>83</v>
      </c>
      <c r="D7" s="7"/>
    </row>
    <row r="8" spans="1:6" ht="30" customHeight="1" x14ac:dyDescent="0.2">
      <c r="A8" s="16" t="s">
        <v>101</v>
      </c>
      <c r="B8" s="7" t="s">
        <v>261</v>
      </c>
      <c r="C8" s="6" t="s">
        <v>83</v>
      </c>
      <c r="D8" s="7"/>
    </row>
    <row r="9" spans="1:6" ht="30" customHeight="1" x14ac:dyDescent="0.2">
      <c r="A9" s="16" t="s">
        <v>103</v>
      </c>
      <c r="B9" s="7" t="s">
        <v>262</v>
      </c>
      <c r="C9" s="6" t="s">
        <v>83</v>
      </c>
      <c r="D9" s="7"/>
    </row>
    <row r="10" spans="1:6" ht="30" customHeight="1" x14ac:dyDescent="0.2">
      <c r="A10" s="16" t="s">
        <v>105</v>
      </c>
      <c r="B10" s="7" t="s">
        <v>263</v>
      </c>
      <c r="C10" s="6" t="s">
        <v>83</v>
      </c>
      <c r="D10" s="7"/>
    </row>
    <row r="11" spans="1:6" ht="30" customHeight="1" x14ac:dyDescent="0.2">
      <c r="A11" s="16" t="s">
        <v>107</v>
      </c>
      <c r="B11" s="7" t="s">
        <v>264</v>
      </c>
      <c r="C11" s="6" t="s">
        <v>83</v>
      </c>
      <c r="D11" s="7"/>
    </row>
    <row r="12" spans="1:6" ht="30" customHeight="1" x14ac:dyDescent="0.2">
      <c r="A12" s="17" t="s">
        <v>109</v>
      </c>
      <c r="B12" s="18" t="s">
        <v>265</v>
      </c>
      <c r="C12" s="19" t="s">
        <v>83</v>
      </c>
      <c r="D12" s="18"/>
    </row>
    <row r="13" spans="1:6" ht="16" x14ac:dyDescent="0.2">
      <c r="A13" s="2" t="s">
        <v>111</v>
      </c>
      <c r="B13" s="20">
        <f>COUNTIF(C6:C12,"✅ Done")/7</f>
        <v>0</v>
      </c>
      <c r="C13" s="30" t="str">
        <f>REPT("█",ROUND(B13*20,0))&amp;REPT("░",20-ROUND(B13*20,0))</f>
        <v>░░░░░░░░░░░░░░░░░░░░</v>
      </c>
      <c r="D13" s="24"/>
      <c r="E13" s="25" t="s">
        <v>266</v>
      </c>
      <c r="F13" s="24"/>
    </row>
  </sheetData>
  <mergeCells count="5">
    <mergeCell ref="A2:F2"/>
    <mergeCell ref="A1:F1"/>
    <mergeCell ref="E13:F13"/>
    <mergeCell ref="C13:D13"/>
    <mergeCell ref="A3:F3"/>
  </mergeCells>
  <conditionalFormatting sqref="C6:C12">
    <cfRule type="expression" dxfId="29" priority="1">
      <formula>$C6="✅ Done"</formula>
    </cfRule>
    <cfRule type="expression" dxfId="28" priority="2">
      <formula>$C6="▶ In progress"</formula>
    </cfRule>
    <cfRule type="expression" dxfId="27" priority="3">
      <formula>$C6="⏭ Skipped"</formula>
    </cfRule>
  </conditionalFormatting>
  <dataValidations count="1">
    <dataValidation type="list" allowBlank="1" errorTitle="Invalid status" error="Pick one of: ☐ Not started, ▶ In progress, ✅ Done, ⏭ Skipped" sqref="C6:C12" xr:uid="{00000000-0002-0000-0F00-000000000000}">
      <formula1>"☐ Not started,▶ In progress,✅ Done,⏭ Skipped"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13"/>
  <sheetViews>
    <sheetView workbookViewId="0">
      <pane ySplit="5" topLeftCell="A6" activePane="bottomLeft" state="frozen"/>
      <selection pane="bottomLeft"/>
    </sheetView>
  </sheetViews>
  <sheetFormatPr baseColWidth="10" defaultColWidth="8.83203125" defaultRowHeight="15" x14ac:dyDescent="0.2"/>
  <cols>
    <col min="1" max="1" width="12" customWidth="1"/>
    <col min="2" max="2" width="78" customWidth="1"/>
    <col min="3" max="3" width="18" customWidth="1"/>
    <col min="4" max="4" width="34" customWidth="1"/>
    <col min="5" max="6" width="40" customWidth="1"/>
  </cols>
  <sheetData>
    <row r="1" spans="1:6" ht="26" customHeight="1" x14ac:dyDescent="0.2">
      <c r="A1" s="29" t="s">
        <v>267</v>
      </c>
      <c r="B1" s="24"/>
      <c r="C1" s="24"/>
      <c r="D1" s="24"/>
      <c r="E1" s="24"/>
      <c r="F1" s="24"/>
    </row>
    <row r="2" spans="1:6" x14ac:dyDescent="0.2">
      <c r="A2" s="28" t="s">
        <v>268</v>
      </c>
      <c r="B2" s="24"/>
      <c r="C2" s="24"/>
      <c r="D2" s="24"/>
      <c r="E2" s="24"/>
      <c r="F2" s="24"/>
    </row>
    <row r="3" spans="1:6" x14ac:dyDescent="0.2">
      <c r="A3" s="31" t="s">
        <v>269</v>
      </c>
      <c r="B3" s="24"/>
      <c r="C3" s="24"/>
      <c r="D3" s="24"/>
      <c r="E3" s="24"/>
      <c r="F3" s="24"/>
    </row>
    <row r="5" spans="1:6" ht="16" x14ac:dyDescent="0.2">
      <c r="A5" s="5" t="s">
        <v>94</v>
      </c>
      <c r="B5" s="5" t="s">
        <v>95</v>
      </c>
      <c r="C5" s="5" t="s">
        <v>9</v>
      </c>
      <c r="D5" s="5" t="s">
        <v>96</v>
      </c>
    </row>
    <row r="6" spans="1:6" ht="30" customHeight="1" x14ac:dyDescent="0.2">
      <c r="A6" s="16" t="s">
        <v>97</v>
      </c>
      <c r="B6" s="7" t="s">
        <v>270</v>
      </c>
      <c r="C6" s="6" t="s">
        <v>83</v>
      </c>
      <c r="D6" s="7"/>
    </row>
    <row r="7" spans="1:6" ht="30" customHeight="1" x14ac:dyDescent="0.2">
      <c r="A7" s="16" t="s">
        <v>99</v>
      </c>
      <c r="B7" s="7" t="s">
        <v>271</v>
      </c>
      <c r="C7" s="6" t="s">
        <v>83</v>
      </c>
      <c r="D7" s="7"/>
    </row>
    <row r="8" spans="1:6" ht="30" customHeight="1" x14ac:dyDescent="0.2">
      <c r="A8" s="16" t="s">
        <v>101</v>
      </c>
      <c r="B8" s="7" t="s">
        <v>272</v>
      </c>
      <c r="C8" s="6" t="s">
        <v>83</v>
      </c>
      <c r="D8" s="7"/>
    </row>
    <row r="9" spans="1:6" ht="30" customHeight="1" x14ac:dyDescent="0.2">
      <c r="A9" s="16" t="s">
        <v>103</v>
      </c>
      <c r="B9" s="7" t="s">
        <v>273</v>
      </c>
      <c r="C9" s="6" t="s">
        <v>83</v>
      </c>
      <c r="D9" s="7"/>
    </row>
    <row r="10" spans="1:6" ht="30" customHeight="1" x14ac:dyDescent="0.2">
      <c r="A10" s="16" t="s">
        <v>105</v>
      </c>
      <c r="B10" s="7" t="s">
        <v>274</v>
      </c>
      <c r="C10" s="6" t="s">
        <v>83</v>
      </c>
      <c r="D10" s="7"/>
    </row>
    <row r="11" spans="1:6" ht="30" customHeight="1" x14ac:dyDescent="0.2">
      <c r="A11" s="16" t="s">
        <v>107</v>
      </c>
      <c r="B11" s="7" t="s">
        <v>275</v>
      </c>
      <c r="C11" s="6" t="s">
        <v>83</v>
      </c>
      <c r="D11" s="7"/>
    </row>
    <row r="12" spans="1:6" ht="30" customHeight="1" x14ac:dyDescent="0.2">
      <c r="A12" s="17" t="s">
        <v>109</v>
      </c>
      <c r="B12" s="18" t="s">
        <v>276</v>
      </c>
      <c r="C12" s="19" t="s">
        <v>83</v>
      </c>
      <c r="D12" s="18"/>
    </row>
    <row r="13" spans="1:6" ht="16" x14ac:dyDescent="0.2">
      <c r="A13" s="2" t="s">
        <v>111</v>
      </c>
      <c r="B13" s="20">
        <f>COUNTIF(C6:C12,"✅ Done")/7</f>
        <v>0</v>
      </c>
      <c r="C13" s="30" t="str">
        <f>REPT("█",ROUND(B13*20,0))&amp;REPT("░",20-ROUND(B13*20,0))</f>
        <v>░░░░░░░░░░░░░░░░░░░░</v>
      </c>
      <c r="D13" s="24"/>
      <c r="E13" s="25" t="s">
        <v>277</v>
      </c>
      <c r="F13" s="24"/>
    </row>
  </sheetData>
  <mergeCells count="5">
    <mergeCell ref="A2:F2"/>
    <mergeCell ref="A1:F1"/>
    <mergeCell ref="E13:F13"/>
    <mergeCell ref="C13:D13"/>
    <mergeCell ref="A3:F3"/>
  </mergeCells>
  <conditionalFormatting sqref="C6:C12">
    <cfRule type="expression" dxfId="26" priority="1">
      <formula>$C6="✅ Done"</formula>
    </cfRule>
    <cfRule type="expression" dxfId="25" priority="2">
      <formula>$C6="▶ In progress"</formula>
    </cfRule>
    <cfRule type="expression" dxfId="24" priority="3">
      <formula>$C6="⏭ Skipped"</formula>
    </cfRule>
  </conditionalFormatting>
  <dataValidations count="1">
    <dataValidation type="list" allowBlank="1" errorTitle="Invalid status" error="Pick one of: ☐ Not started, ▶ In progress, ✅ Done, ⏭ Skipped" sqref="C6:C12" xr:uid="{00000000-0002-0000-1000-000000000000}">
      <formula1>"☐ Not started,▶ In progress,✅ Done,⏭ Skipped"</formula1>
    </dataValidation>
  </dataValidation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F13"/>
  <sheetViews>
    <sheetView workbookViewId="0">
      <pane ySplit="5" topLeftCell="A6" activePane="bottomLeft" state="frozen"/>
      <selection pane="bottomLeft"/>
    </sheetView>
  </sheetViews>
  <sheetFormatPr baseColWidth="10" defaultColWidth="8.83203125" defaultRowHeight="15" x14ac:dyDescent="0.2"/>
  <cols>
    <col min="1" max="1" width="12" customWidth="1"/>
    <col min="2" max="2" width="78" customWidth="1"/>
    <col min="3" max="3" width="18" customWidth="1"/>
    <col min="4" max="4" width="34" customWidth="1"/>
    <col min="5" max="6" width="40" customWidth="1"/>
  </cols>
  <sheetData>
    <row r="1" spans="1:6" ht="26" customHeight="1" x14ac:dyDescent="0.2">
      <c r="A1" s="29" t="s">
        <v>278</v>
      </c>
      <c r="B1" s="24"/>
      <c r="C1" s="24"/>
      <c r="D1" s="24"/>
      <c r="E1" s="24"/>
      <c r="F1" s="24"/>
    </row>
    <row r="2" spans="1:6" x14ac:dyDescent="0.2">
      <c r="A2" s="28" t="s">
        <v>279</v>
      </c>
      <c r="B2" s="24"/>
      <c r="C2" s="24"/>
      <c r="D2" s="24"/>
      <c r="E2" s="24"/>
      <c r="F2" s="24"/>
    </row>
    <row r="3" spans="1:6" x14ac:dyDescent="0.2">
      <c r="A3" s="31" t="s">
        <v>280</v>
      </c>
      <c r="B3" s="24"/>
      <c r="C3" s="24"/>
      <c r="D3" s="24"/>
      <c r="E3" s="24"/>
      <c r="F3" s="24"/>
    </row>
    <row r="5" spans="1:6" ht="16" x14ac:dyDescent="0.2">
      <c r="A5" s="5" t="s">
        <v>94</v>
      </c>
      <c r="B5" s="5" t="s">
        <v>95</v>
      </c>
      <c r="C5" s="5" t="s">
        <v>9</v>
      </c>
      <c r="D5" s="5" t="s">
        <v>96</v>
      </c>
    </row>
    <row r="6" spans="1:6" ht="30" customHeight="1" x14ac:dyDescent="0.2">
      <c r="A6" s="16" t="s">
        <v>97</v>
      </c>
      <c r="B6" s="7" t="s">
        <v>281</v>
      </c>
      <c r="C6" s="6" t="s">
        <v>83</v>
      </c>
      <c r="D6" s="7"/>
    </row>
    <row r="7" spans="1:6" ht="30" customHeight="1" x14ac:dyDescent="0.2">
      <c r="A7" s="16" t="s">
        <v>99</v>
      </c>
      <c r="B7" s="7" t="s">
        <v>282</v>
      </c>
      <c r="C7" s="6" t="s">
        <v>83</v>
      </c>
      <c r="D7" s="7"/>
    </row>
    <row r="8" spans="1:6" ht="30" customHeight="1" x14ac:dyDescent="0.2">
      <c r="A8" s="16" t="s">
        <v>101</v>
      </c>
      <c r="B8" s="7" t="s">
        <v>283</v>
      </c>
      <c r="C8" s="6" t="s">
        <v>83</v>
      </c>
      <c r="D8" s="7"/>
    </row>
    <row r="9" spans="1:6" ht="30" customHeight="1" x14ac:dyDescent="0.2">
      <c r="A9" s="16" t="s">
        <v>103</v>
      </c>
      <c r="B9" s="7" t="s">
        <v>284</v>
      </c>
      <c r="C9" s="6" t="s">
        <v>83</v>
      </c>
      <c r="D9" s="7"/>
    </row>
    <row r="10" spans="1:6" ht="30" customHeight="1" x14ac:dyDescent="0.2">
      <c r="A10" s="16" t="s">
        <v>105</v>
      </c>
      <c r="B10" s="7" t="s">
        <v>285</v>
      </c>
      <c r="C10" s="6" t="s">
        <v>83</v>
      </c>
      <c r="D10" s="7"/>
    </row>
    <row r="11" spans="1:6" ht="30" customHeight="1" x14ac:dyDescent="0.2">
      <c r="A11" s="16" t="s">
        <v>107</v>
      </c>
      <c r="B11" s="7" t="s">
        <v>286</v>
      </c>
      <c r="C11" s="6" t="s">
        <v>83</v>
      </c>
      <c r="D11" s="7"/>
    </row>
    <row r="12" spans="1:6" ht="30" customHeight="1" x14ac:dyDescent="0.2">
      <c r="A12" s="17" t="s">
        <v>109</v>
      </c>
      <c r="B12" s="18" t="s">
        <v>287</v>
      </c>
      <c r="C12" s="19" t="s">
        <v>83</v>
      </c>
      <c r="D12" s="18"/>
    </row>
    <row r="13" spans="1:6" ht="16" x14ac:dyDescent="0.2">
      <c r="A13" s="2" t="s">
        <v>111</v>
      </c>
      <c r="B13" s="20">
        <f>COUNTIF(C6:C12,"✅ Done")/7</f>
        <v>0</v>
      </c>
      <c r="C13" s="30" t="str">
        <f>REPT("█",ROUND(B13*20,0))&amp;REPT("░",20-ROUND(B13*20,0))</f>
        <v>░░░░░░░░░░░░░░░░░░░░</v>
      </c>
      <c r="D13" s="24"/>
      <c r="E13" s="25" t="s">
        <v>288</v>
      </c>
      <c r="F13" s="24"/>
    </row>
  </sheetData>
  <mergeCells count="5">
    <mergeCell ref="A2:F2"/>
    <mergeCell ref="A1:F1"/>
    <mergeCell ref="E13:F13"/>
    <mergeCell ref="C13:D13"/>
    <mergeCell ref="A3:F3"/>
  </mergeCells>
  <conditionalFormatting sqref="C6:C12">
    <cfRule type="expression" dxfId="23" priority="1">
      <formula>$C6="✅ Done"</formula>
    </cfRule>
    <cfRule type="expression" dxfId="22" priority="2">
      <formula>$C6="▶ In progress"</formula>
    </cfRule>
    <cfRule type="expression" dxfId="21" priority="3">
      <formula>$C6="⏭ Skipped"</formula>
    </cfRule>
  </conditionalFormatting>
  <dataValidations count="1">
    <dataValidation type="list" allowBlank="1" errorTitle="Invalid status" error="Pick one of: ☐ Not started, ▶ In progress, ✅ Done, ⏭ Skipped" sqref="C6:C12" xr:uid="{00000000-0002-0000-1100-000000000000}">
      <formula1>"☐ Not started,▶ In progress,✅ Done,⏭ Skipped"</formula1>
    </dataValidation>
  </dataValidation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F13"/>
  <sheetViews>
    <sheetView workbookViewId="0">
      <pane ySplit="5" topLeftCell="A6" activePane="bottomLeft" state="frozen"/>
      <selection pane="bottomLeft"/>
    </sheetView>
  </sheetViews>
  <sheetFormatPr baseColWidth="10" defaultColWidth="8.83203125" defaultRowHeight="15" x14ac:dyDescent="0.2"/>
  <cols>
    <col min="1" max="1" width="12" customWidth="1"/>
    <col min="2" max="2" width="78" customWidth="1"/>
    <col min="3" max="3" width="18" customWidth="1"/>
    <col min="4" max="4" width="34" customWidth="1"/>
    <col min="5" max="6" width="40" customWidth="1"/>
  </cols>
  <sheetData>
    <row r="1" spans="1:6" ht="26" customHeight="1" x14ac:dyDescent="0.2">
      <c r="A1" s="29" t="s">
        <v>289</v>
      </c>
      <c r="B1" s="24"/>
      <c r="C1" s="24"/>
      <c r="D1" s="24"/>
      <c r="E1" s="24"/>
      <c r="F1" s="24"/>
    </row>
    <row r="2" spans="1:6" x14ac:dyDescent="0.2">
      <c r="A2" s="28" t="s">
        <v>290</v>
      </c>
      <c r="B2" s="24"/>
      <c r="C2" s="24"/>
      <c r="D2" s="24"/>
      <c r="E2" s="24"/>
      <c r="F2" s="24"/>
    </row>
    <row r="3" spans="1:6" x14ac:dyDescent="0.2">
      <c r="A3" s="31" t="s">
        <v>291</v>
      </c>
      <c r="B3" s="24"/>
      <c r="C3" s="24"/>
      <c r="D3" s="24"/>
      <c r="E3" s="24"/>
      <c r="F3" s="24"/>
    </row>
    <row r="5" spans="1:6" ht="16" x14ac:dyDescent="0.2">
      <c r="A5" s="5" t="s">
        <v>94</v>
      </c>
      <c r="B5" s="5" t="s">
        <v>95</v>
      </c>
      <c r="C5" s="5" t="s">
        <v>9</v>
      </c>
      <c r="D5" s="5" t="s">
        <v>96</v>
      </c>
    </row>
    <row r="6" spans="1:6" ht="30" customHeight="1" x14ac:dyDescent="0.2">
      <c r="A6" s="16" t="s">
        <v>97</v>
      </c>
      <c r="B6" s="7" t="s">
        <v>292</v>
      </c>
      <c r="C6" s="6" t="s">
        <v>83</v>
      </c>
      <c r="D6" s="7"/>
    </row>
    <row r="7" spans="1:6" ht="30" customHeight="1" x14ac:dyDescent="0.2">
      <c r="A7" s="16" t="s">
        <v>99</v>
      </c>
      <c r="B7" s="7" t="s">
        <v>293</v>
      </c>
      <c r="C7" s="6" t="s">
        <v>83</v>
      </c>
      <c r="D7" s="7"/>
    </row>
    <row r="8" spans="1:6" ht="30" customHeight="1" x14ac:dyDescent="0.2">
      <c r="A8" s="16" t="s">
        <v>101</v>
      </c>
      <c r="B8" s="7" t="s">
        <v>294</v>
      </c>
      <c r="C8" s="6" t="s">
        <v>83</v>
      </c>
      <c r="D8" s="7"/>
    </row>
    <row r="9" spans="1:6" ht="30" customHeight="1" x14ac:dyDescent="0.2">
      <c r="A9" s="16" t="s">
        <v>103</v>
      </c>
      <c r="B9" s="7" t="s">
        <v>295</v>
      </c>
      <c r="C9" s="6" t="s">
        <v>83</v>
      </c>
      <c r="D9" s="7"/>
    </row>
    <row r="10" spans="1:6" ht="30" customHeight="1" x14ac:dyDescent="0.2">
      <c r="A10" s="16" t="s">
        <v>105</v>
      </c>
      <c r="B10" s="7" t="s">
        <v>296</v>
      </c>
      <c r="C10" s="6" t="s">
        <v>83</v>
      </c>
      <c r="D10" s="7"/>
    </row>
    <row r="11" spans="1:6" ht="30" customHeight="1" x14ac:dyDescent="0.2">
      <c r="A11" s="16" t="s">
        <v>107</v>
      </c>
      <c r="B11" s="7" t="s">
        <v>297</v>
      </c>
      <c r="C11" s="6" t="s">
        <v>83</v>
      </c>
      <c r="D11" s="7"/>
    </row>
    <row r="12" spans="1:6" ht="30" customHeight="1" x14ac:dyDescent="0.2">
      <c r="A12" s="17" t="s">
        <v>109</v>
      </c>
      <c r="B12" s="18" t="s">
        <v>298</v>
      </c>
      <c r="C12" s="19" t="s">
        <v>83</v>
      </c>
      <c r="D12" s="18"/>
    </row>
    <row r="13" spans="1:6" ht="16" x14ac:dyDescent="0.2">
      <c r="A13" s="2" t="s">
        <v>111</v>
      </c>
      <c r="B13" s="20">
        <f>COUNTIF(C6:C12,"✅ Done")/7</f>
        <v>0</v>
      </c>
      <c r="C13" s="30" t="str">
        <f>REPT("█",ROUND(B13*20,0))&amp;REPT("░",20-ROUND(B13*20,0))</f>
        <v>░░░░░░░░░░░░░░░░░░░░</v>
      </c>
      <c r="D13" s="24"/>
      <c r="E13" s="25" t="s">
        <v>299</v>
      </c>
      <c r="F13" s="24"/>
    </row>
  </sheetData>
  <mergeCells count="5">
    <mergeCell ref="A2:F2"/>
    <mergeCell ref="A1:F1"/>
    <mergeCell ref="E13:F13"/>
    <mergeCell ref="C13:D13"/>
    <mergeCell ref="A3:F3"/>
  </mergeCells>
  <conditionalFormatting sqref="C6:C12">
    <cfRule type="expression" dxfId="20" priority="1">
      <formula>$C6="✅ Done"</formula>
    </cfRule>
    <cfRule type="expression" dxfId="19" priority="2">
      <formula>$C6="▶ In progress"</formula>
    </cfRule>
    <cfRule type="expression" dxfId="18" priority="3">
      <formula>$C6="⏭ Skipped"</formula>
    </cfRule>
  </conditionalFormatting>
  <dataValidations count="1">
    <dataValidation type="list" allowBlank="1" errorTitle="Invalid status" error="Pick one of: ☐ Not started, ▶ In progress, ✅ Done, ⏭ Skipped" sqref="C6:C12" xr:uid="{00000000-0002-0000-1200-000000000000}">
      <formula1>"☐ Not started,▶ In progress,✅ Done,⏭ Skipped"</formula1>
    </dataValidation>
  </dataValidation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13"/>
  <sheetViews>
    <sheetView workbookViewId="0">
      <pane ySplit="5" topLeftCell="A6" activePane="bottomLeft" state="frozen"/>
      <selection pane="bottomLeft"/>
    </sheetView>
  </sheetViews>
  <sheetFormatPr baseColWidth="10" defaultColWidth="8.83203125" defaultRowHeight="15" x14ac:dyDescent="0.2"/>
  <cols>
    <col min="1" max="1" width="12" customWidth="1"/>
    <col min="2" max="2" width="78" customWidth="1"/>
    <col min="3" max="3" width="18" customWidth="1"/>
    <col min="4" max="4" width="34" customWidth="1"/>
    <col min="5" max="6" width="40" customWidth="1"/>
  </cols>
  <sheetData>
    <row r="1" spans="1:6" ht="26" customHeight="1" x14ac:dyDescent="0.2">
      <c r="A1" s="29" t="s">
        <v>300</v>
      </c>
      <c r="B1" s="24"/>
      <c r="C1" s="24"/>
      <c r="D1" s="24"/>
      <c r="E1" s="24"/>
      <c r="F1" s="24"/>
    </row>
    <row r="2" spans="1:6" x14ac:dyDescent="0.2">
      <c r="A2" s="28" t="s">
        <v>301</v>
      </c>
      <c r="B2" s="24"/>
      <c r="C2" s="24"/>
      <c r="D2" s="24"/>
      <c r="E2" s="24"/>
      <c r="F2" s="24"/>
    </row>
    <row r="3" spans="1:6" x14ac:dyDescent="0.2">
      <c r="A3" s="31" t="s">
        <v>302</v>
      </c>
      <c r="B3" s="24"/>
      <c r="C3" s="24"/>
      <c r="D3" s="24"/>
      <c r="E3" s="24"/>
      <c r="F3" s="24"/>
    </row>
    <row r="5" spans="1:6" ht="16" x14ac:dyDescent="0.2">
      <c r="A5" s="5" t="s">
        <v>94</v>
      </c>
      <c r="B5" s="5" t="s">
        <v>95</v>
      </c>
      <c r="C5" s="5" t="s">
        <v>9</v>
      </c>
      <c r="D5" s="5" t="s">
        <v>96</v>
      </c>
    </row>
    <row r="6" spans="1:6" ht="30" customHeight="1" x14ac:dyDescent="0.2">
      <c r="A6" s="16" t="s">
        <v>97</v>
      </c>
      <c r="B6" s="7" t="s">
        <v>303</v>
      </c>
      <c r="C6" s="6" t="s">
        <v>83</v>
      </c>
      <c r="D6" s="7"/>
    </row>
    <row r="7" spans="1:6" ht="30" customHeight="1" x14ac:dyDescent="0.2">
      <c r="A7" s="16" t="s">
        <v>99</v>
      </c>
      <c r="B7" s="7" t="s">
        <v>304</v>
      </c>
      <c r="C7" s="6" t="s">
        <v>83</v>
      </c>
      <c r="D7" s="7"/>
    </row>
    <row r="8" spans="1:6" ht="30" customHeight="1" x14ac:dyDescent="0.2">
      <c r="A8" s="16" t="s">
        <v>101</v>
      </c>
      <c r="B8" s="7" t="s">
        <v>305</v>
      </c>
      <c r="C8" s="6" t="s">
        <v>83</v>
      </c>
      <c r="D8" s="7"/>
    </row>
    <row r="9" spans="1:6" ht="30" customHeight="1" x14ac:dyDescent="0.2">
      <c r="A9" s="16" t="s">
        <v>103</v>
      </c>
      <c r="B9" s="7" t="s">
        <v>306</v>
      </c>
      <c r="C9" s="6" t="s">
        <v>83</v>
      </c>
      <c r="D9" s="7"/>
    </row>
    <row r="10" spans="1:6" ht="30" customHeight="1" x14ac:dyDescent="0.2">
      <c r="A10" s="16" t="s">
        <v>105</v>
      </c>
      <c r="B10" s="7" t="s">
        <v>307</v>
      </c>
      <c r="C10" s="6" t="s">
        <v>83</v>
      </c>
      <c r="D10" s="7"/>
    </row>
    <row r="11" spans="1:6" ht="30" customHeight="1" x14ac:dyDescent="0.2">
      <c r="A11" s="16" t="s">
        <v>107</v>
      </c>
      <c r="B11" s="7" t="s">
        <v>308</v>
      </c>
      <c r="C11" s="6" t="s">
        <v>83</v>
      </c>
      <c r="D11" s="7"/>
    </row>
    <row r="12" spans="1:6" ht="30" customHeight="1" x14ac:dyDescent="0.2">
      <c r="A12" s="17" t="s">
        <v>109</v>
      </c>
      <c r="B12" s="18" t="s">
        <v>309</v>
      </c>
      <c r="C12" s="19" t="s">
        <v>83</v>
      </c>
      <c r="D12" s="18"/>
    </row>
    <row r="13" spans="1:6" ht="16" x14ac:dyDescent="0.2">
      <c r="A13" s="2" t="s">
        <v>111</v>
      </c>
      <c r="B13" s="20">
        <f>COUNTIF(C6:C12,"✅ Done")/7</f>
        <v>0</v>
      </c>
      <c r="C13" s="30" t="str">
        <f>REPT("█",ROUND(B13*20,0))&amp;REPT("░",20-ROUND(B13*20,0))</f>
        <v>░░░░░░░░░░░░░░░░░░░░</v>
      </c>
      <c r="D13" s="24"/>
      <c r="E13" s="25" t="s">
        <v>310</v>
      </c>
      <c r="F13" s="24"/>
    </row>
  </sheetData>
  <mergeCells count="5">
    <mergeCell ref="A2:F2"/>
    <mergeCell ref="A1:F1"/>
    <mergeCell ref="E13:F13"/>
    <mergeCell ref="C13:D13"/>
    <mergeCell ref="A3:F3"/>
  </mergeCells>
  <conditionalFormatting sqref="C6:C12">
    <cfRule type="expression" dxfId="17" priority="1">
      <formula>$C6="✅ Done"</formula>
    </cfRule>
    <cfRule type="expression" dxfId="16" priority="2">
      <formula>$C6="▶ In progress"</formula>
    </cfRule>
    <cfRule type="expression" dxfId="15" priority="3">
      <formula>$C6="⏭ Skipped"</formula>
    </cfRule>
  </conditionalFormatting>
  <dataValidations count="1">
    <dataValidation type="list" allowBlank="1" errorTitle="Invalid status" error="Pick one of: ☐ Not started, ▶ In progress, ✅ Done, ⏭ Skipped" sqref="C6:C12" xr:uid="{00000000-0002-0000-1300-000000000000}">
      <formula1>"☐ Not started,▶ In progress,✅ Done,⏭ Skipped"</formula1>
    </dataValidation>
  </dataValidation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F13"/>
  <sheetViews>
    <sheetView workbookViewId="0">
      <pane ySplit="5" topLeftCell="A6" activePane="bottomLeft" state="frozen"/>
      <selection pane="bottomLeft"/>
    </sheetView>
  </sheetViews>
  <sheetFormatPr baseColWidth="10" defaultColWidth="8.83203125" defaultRowHeight="15" x14ac:dyDescent="0.2"/>
  <cols>
    <col min="1" max="1" width="12" customWidth="1"/>
    <col min="2" max="2" width="78" customWidth="1"/>
    <col min="3" max="3" width="18" customWidth="1"/>
    <col min="4" max="4" width="34" customWidth="1"/>
    <col min="5" max="6" width="40" customWidth="1"/>
  </cols>
  <sheetData>
    <row r="1" spans="1:6" ht="26" customHeight="1" x14ac:dyDescent="0.2">
      <c r="A1" s="29" t="s">
        <v>311</v>
      </c>
      <c r="B1" s="24"/>
      <c r="C1" s="24"/>
      <c r="D1" s="24"/>
      <c r="E1" s="24"/>
      <c r="F1" s="24"/>
    </row>
    <row r="2" spans="1:6" x14ac:dyDescent="0.2">
      <c r="A2" s="28" t="s">
        <v>312</v>
      </c>
      <c r="B2" s="24"/>
      <c r="C2" s="24"/>
      <c r="D2" s="24"/>
      <c r="E2" s="24"/>
      <c r="F2" s="24"/>
    </row>
    <row r="3" spans="1:6" x14ac:dyDescent="0.2">
      <c r="A3" s="31" t="s">
        <v>313</v>
      </c>
      <c r="B3" s="24"/>
      <c r="C3" s="24"/>
      <c r="D3" s="24"/>
      <c r="E3" s="24"/>
      <c r="F3" s="24"/>
    </row>
    <row r="5" spans="1:6" ht="16" x14ac:dyDescent="0.2">
      <c r="A5" s="5" t="s">
        <v>94</v>
      </c>
      <c r="B5" s="5" t="s">
        <v>95</v>
      </c>
      <c r="C5" s="5" t="s">
        <v>9</v>
      </c>
      <c r="D5" s="5" t="s">
        <v>96</v>
      </c>
    </row>
    <row r="6" spans="1:6" ht="30" customHeight="1" x14ac:dyDescent="0.2">
      <c r="A6" s="16" t="s">
        <v>97</v>
      </c>
      <c r="B6" s="7" t="s">
        <v>314</v>
      </c>
      <c r="C6" s="6" t="s">
        <v>83</v>
      </c>
      <c r="D6" s="7"/>
    </row>
    <row r="7" spans="1:6" ht="30" customHeight="1" x14ac:dyDescent="0.2">
      <c r="A7" s="16" t="s">
        <v>99</v>
      </c>
      <c r="B7" s="7" t="s">
        <v>315</v>
      </c>
      <c r="C7" s="6" t="s">
        <v>83</v>
      </c>
      <c r="D7" s="7"/>
    </row>
    <row r="8" spans="1:6" ht="30" customHeight="1" x14ac:dyDescent="0.2">
      <c r="A8" s="16" t="s">
        <v>101</v>
      </c>
      <c r="B8" s="7" t="s">
        <v>316</v>
      </c>
      <c r="C8" s="6" t="s">
        <v>83</v>
      </c>
      <c r="D8" s="7"/>
    </row>
    <row r="9" spans="1:6" ht="30" customHeight="1" x14ac:dyDescent="0.2">
      <c r="A9" s="16" t="s">
        <v>103</v>
      </c>
      <c r="B9" s="7" t="s">
        <v>317</v>
      </c>
      <c r="C9" s="6" t="s">
        <v>83</v>
      </c>
      <c r="D9" s="7"/>
    </row>
    <row r="10" spans="1:6" ht="30" customHeight="1" x14ac:dyDescent="0.2">
      <c r="A10" s="16" t="s">
        <v>105</v>
      </c>
      <c r="B10" s="7" t="s">
        <v>318</v>
      </c>
      <c r="C10" s="6" t="s">
        <v>83</v>
      </c>
      <c r="D10" s="7"/>
    </row>
    <row r="11" spans="1:6" ht="30" customHeight="1" x14ac:dyDescent="0.2">
      <c r="A11" s="16" t="s">
        <v>107</v>
      </c>
      <c r="B11" s="7" t="s">
        <v>319</v>
      </c>
      <c r="C11" s="6" t="s">
        <v>83</v>
      </c>
      <c r="D11" s="7"/>
    </row>
    <row r="12" spans="1:6" ht="30" customHeight="1" x14ac:dyDescent="0.2">
      <c r="A12" s="17" t="s">
        <v>109</v>
      </c>
      <c r="B12" s="18" t="s">
        <v>320</v>
      </c>
      <c r="C12" s="19" t="s">
        <v>83</v>
      </c>
      <c r="D12" s="18"/>
    </row>
    <row r="13" spans="1:6" ht="16" x14ac:dyDescent="0.2">
      <c r="A13" s="2" t="s">
        <v>111</v>
      </c>
      <c r="B13" s="20">
        <f>COUNTIF(C6:C12,"✅ Done")/7</f>
        <v>0</v>
      </c>
      <c r="C13" s="30" t="str">
        <f>REPT("█",ROUND(B13*20,0))&amp;REPT("░",20-ROUND(B13*20,0))</f>
        <v>░░░░░░░░░░░░░░░░░░░░</v>
      </c>
      <c r="D13" s="24"/>
      <c r="E13" s="25" t="s">
        <v>321</v>
      </c>
      <c r="F13" s="24"/>
    </row>
  </sheetData>
  <mergeCells count="5">
    <mergeCell ref="A2:F2"/>
    <mergeCell ref="A1:F1"/>
    <mergeCell ref="E13:F13"/>
    <mergeCell ref="C13:D13"/>
    <mergeCell ref="A3:F3"/>
  </mergeCells>
  <conditionalFormatting sqref="C6:C12">
    <cfRule type="expression" dxfId="14" priority="1">
      <formula>$C6="✅ Done"</formula>
    </cfRule>
    <cfRule type="expression" dxfId="13" priority="2">
      <formula>$C6="▶ In progress"</formula>
    </cfRule>
    <cfRule type="expression" dxfId="12" priority="3">
      <formula>$C6="⏭ Skipped"</formula>
    </cfRule>
  </conditionalFormatting>
  <dataValidations count="1">
    <dataValidation type="list" allowBlank="1" errorTitle="Invalid status" error="Pick one of: ☐ Not started, ▶ In progress, ✅ Done, ⏭ Skipped" sqref="C6:C12" xr:uid="{00000000-0002-0000-1400-000000000000}">
      <formula1>"☐ Not started,▶ In progress,✅ Done,⏭ Skipped"</formula1>
    </dataValidation>
  </dataValidation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F13"/>
  <sheetViews>
    <sheetView workbookViewId="0">
      <pane ySplit="5" topLeftCell="A6" activePane="bottomLeft" state="frozen"/>
      <selection pane="bottomLeft"/>
    </sheetView>
  </sheetViews>
  <sheetFormatPr baseColWidth="10" defaultColWidth="8.83203125" defaultRowHeight="15" x14ac:dyDescent="0.2"/>
  <cols>
    <col min="1" max="1" width="12" customWidth="1"/>
    <col min="2" max="2" width="78" customWidth="1"/>
    <col min="3" max="3" width="18" customWidth="1"/>
    <col min="4" max="4" width="34" customWidth="1"/>
    <col min="5" max="6" width="40" customWidth="1"/>
  </cols>
  <sheetData>
    <row r="1" spans="1:6" ht="26" customHeight="1" x14ac:dyDescent="0.2">
      <c r="A1" s="29" t="s">
        <v>322</v>
      </c>
      <c r="B1" s="24"/>
      <c r="C1" s="24"/>
      <c r="D1" s="24"/>
      <c r="E1" s="24"/>
      <c r="F1" s="24"/>
    </row>
    <row r="2" spans="1:6" x14ac:dyDescent="0.2">
      <c r="A2" s="28" t="s">
        <v>323</v>
      </c>
      <c r="B2" s="24"/>
      <c r="C2" s="24"/>
      <c r="D2" s="24"/>
      <c r="E2" s="24"/>
      <c r="F2" s="24"/>
    </row>
    <row r="3" spans="1:6" x14ac:dyDescent="0.2">
      <c r="A3" s="31" t="s">
        <v>324</v>
      </c>
      <c r="B3" s="24"/>
      <c r="C3" s="24"/>
      <c r="D3" s="24"/>
      <c r="E3" s="24"/>
      <c r="F3" s="24"/>
    </row>
    <row r="5" spans="1:6" ht="16" x14ac:dyDescent="0.2">
      <c r="A5" s="5" t="s">
        <v>94</v>
      </c>
      <c r="B5" s="5" t="s">
        <v>95</v>
      </c>
      <c r="C5" s="5" t="s">
        <v>9</v>
      </c>
      <c r="D5" s="5" t="s">
        <v>96</v>
      </c>
    </row>
    <row r="6" spans="1:6" ht="30" customHeight="1" x14ac:dyDescent="0.2">
      <c r="A6" s="16" t="s">
        <v>97</v>
      </c>
      <c r="B6" s="7" t="s">
        <v>325</v>
      </c>
      <c r="C6" s="6" t="s">
        <v>83</v>
      </c>
      <c r="D6" s="7"/>
    </row>
    <row r="7" spans="1:6" ht="30" customHeight="1" x14ac:dyDescent="0.2">
      <c r="A7" s="16" t="s">
        <v>99</v>
      </c>
      <c r="B7" s="7" t="s">
        <v>326</v>
      </c>
      <c r="C7" s="6" t="s">
        <v>83</v>
      </c>
      <c r="D7" s="7"/>
    </row>
    <row r="8" spans="1:6" ht="30" customHeight="1" x14ac:dyDescent="0.2">
      <c r="A8" s="16" t="s">
        <v>101</v>
      </c>
      <c r="B8" s="7" t="s">
        <v>327</v>
      </c>
      <c r="C8" s="6" t="s">
        <v>83</v>
      </c>
      <c r="D8" s="7"/>
    </row>
    <row r="9" spans="1:6" ht="30" customHeight="1" x14ac:dyDescent="0.2">
      <c r="A9" s="16" t="s">
        <v>103</v>
      </c>
      <c r="B9" s="7" t="s">
        <v>328</v>
      </c>
      <c r="C9" s="6" t="s">
        <v>83</v>
      </c>
      <c r="D9" s="7"/>
    </row>
    <row r="10" spans="1:6" ht="30" customHeight="1" x14ac:dyDescent="0.2">
      <c r="A10" s="16" t="s">
        <v>105</v>
      </c>
      <c r="B10" s="7" t="s">
        <v>329</v>
      </c>
      <c r="C10" s="6" t="s">
        <v>83</v>
      </c>
      <c r="D10" s="7"/>
    </row>
    <row r="11" spans="1:6" ht="30" customHeight="1" x14ac:dyDescent="0.2">
      <c r="A11" s="16" t="s">
        <v>107</v>
      </c>
      <c r="B11" s="7" t="s">
        <v>330</v>
      </c>
      <c r="C11" s="6" t="s">
        <v>83</v>
      </c>
      <c r="D11" s="7"/>
    </row>
    <row r="12" spans="1:6" ht="30" customHeight="1" x14ac:dyDescent="0.2">
      <c r="A12" s="17" t="s">
        <v>109</v>
      </c>
      <c r="B12" s="18" t="s">
        <v>331</v>
      </c>
      <c r="C12" s="19" t="s">
        <v>83</v>
      </c>
      <c r="D12" s="18"/>
    </row>
    <row r="13" spans="1:6" ht="16" x14ac:dyDescent="0.2">
      <c r="A13" s="2" t="s">
        <v>111</v>
      </c>
      <c r="B13" s="20">
        <f>COUNTIF(C6:C12,"✅ Done")/7</f>
        <v>0</v>
      </c>
      <c r="C13" s="30" t="str">
        <f>REPT("█",ROUND(B13*20,0))&amp;REPT("░",20-ROUND(B13*20,0))</f>
        <v>░░░░░░░░░░░░░░░░░░░░</v>
      </c>
      <c r="D13" s="24"/>
      <c r="E13" s="25" t="s">
        <v>332</v>
      </c>
      <c r="F13" s="24"/>
    </row>
  </sheetData>
  <mergeCells count="5">
    <mergeCell ref="A2:F2"/>
    <mergeCell ref="A1:F1"/>
    <mergeCell ref="E13:F13"/>
    <mergeCell ref="C13:D13"/>
    <mergeCell ref="A3:F3"/>
  </mergeCells>
  <conditionalFormatting sqref="C6:C12">
    <cfRule type="expression" dxfId="11" priority="1">
      <formula>$C6="✅ Done"</formula>
    </cfRule>
    <cfRule type="expression" dxfId="10" priority="2">
      <formula>$C6="▶ In progress"</formula>
    </cfRule>
    <cfRule type="expression" dxfId="9" priority="3">
      <formula>$C6="⏭ Skipped"</formula>
    </cfRule>
  </conditionalFormatting>
  <dataValidations count="1">
    <dataValidation type="list" allowBlank="1" errorTitle="Invalid status" error="Pick one of: ☐ Not started, ▶ In progress, ✅ Done, ⏭ Skipped" sqref="C6:C12" xr:uid="{00000000-0002-0000-1500-000000000000}">
      <formula1>"☐ Not started,▶ In progress,✅ Done,⏭ Skipped"</formula1>
    </dataValidation>
  </dataValidation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F13"/>
  <sheetViews>
    <sheetView workbookViewId="0">
      <pane ySplit="5" topLeftCell="A6" activePane="bottomLeft" state="frozen"/>
      <selection pane="bottomLeft"/>
    </sheetView>
  </sheetViews>
  <sheetFormatPr baseColWidth="10" defaultColWidth="8.83203125" defaultRowHeight="15" x14ac:dyDescent="0.2"/>
  <cols>
    <col min="1" max="1" width="12" customWidth="1"/>
    <col min="2" max="2" width="78" customWidth="1"/>
    <col min="3" max="3" width="18" customWidth="1"/>
    <col min="4" max="4" width="34" customWidth="1"/>
    <col min="5" max="6" width="40" customWidth="1"/>
  </cols>
  <sheetData>
    <row r="1" spans="1:6" ht="26" customHeight="1" x14ac:dyDescent="0.2">
      <c r="A1" s="29" t="s">
        <v>333</v>
      </c>
      <c r="B1" s="24"/>
      <c r="C1" s="24"/>
      <c r="D1" s="24"/>
      <c r="E1" s="24"/>
      <c r="F1" s="24"/>
    </row>
    <row r="2" spans="1:6" x14ac:dyDescent="0.2">
      <c r="A2" s="28" t="s">
        <v>334</v>
      </c>
      <c r="B2" s="24"/>
      <c r="C2" s="24"/>
      <c r="D2" s="24"/>
      <c r="E2" s="24"/>
      <c r="F2" s="24"/>
    </row>
    <row r="3" spans="1:6" x14ac:dyDescent="0.2">
      <c r="A3" s="31" t="s">
        <v>335</v>
      </c>
      <c r="B3" s="24"/>
      <c r="C3" s="24"/>
      <c r="D3" s="24"/>
      <c r="E3" s="24"/>
      <c r="F3" s="24"/>
    </row>
    <row r="5" spans="1:6" ht="16" x14ac:dyDescent="0.2">
      <c r="A5" s="5" t="s">
        <v>94</v>
      </c>
      <c r="B5" s="5" t="s">
        <v>95</v>
      </c>
      <c r="C5" s="5" t="s">
        <v>9</v>
      </c>
      <c r="D5" s="5" t="s">
        <v>96</v>
      </c>
    </row>
    <row r="6" spans="1:6" ht="30" customHeight="1" x14ac:dyDescent="0.2">
      <c r="A6" s="16" t="s">
        <v>97</v>
      </c>
      <c r="B6" s="7" t="s">
        <v>336</v>
      </c>
      <c r="C6" s="6" t="s">
        <v>83</v>
      </c>
      <c r="D6" s="7"/>
    </row>
    <row r="7" spans="1:6" ht="30" customHeight="1" x14ac:dyDescent="0.2">
      <c r="A7" s="16" t="s">
        <v>99</v>
      </c>
      <c r="B7" s="7" t="s">
        <v>337</v>
      </c>
      <c r="C7" s="6" t="s">
        <v>83</v>
      </c>
      <c r="D7" s="7"/>
    </row>
    <row r="8" spans="1:6" ht="30" customHeight="1" x14ac:dyDescent="0.2">
      <c r="A8" s="16" t="s">
        <v>101</v>
      </c>
      <c r="B8" s="7" t="s">
        <v>338</v>
      </c>
      <c r="C8" s="6" t="s">
        <v>83</v>
      </c>
      <c r="D8" s="7"/>
    </row>
    <row r="9" spans="1:6" ht="30" customHeight="1" x14ac:dyDescent="0.2">
      <c r="A9" s="16" t="s">
        <v>103</v>
      </c>
      <c r="B9" s="7" t="s">
        <v>339</v>
      </c>
      <c r="C9" s="6" t="s">
        <v>83</v>
      </c>
      <c r="D9" s="7"/>
    </row>
    <row r="10" spans="1:6" ht="30" customHeight="1" x14ac:dyDescent="0.2">
      <c r="A10" s="16" t="s">
        <v>105</v>
      </c>
      <c r="B10" s="7" t="s">
        <v>340</v>
      </c>
      <c r="C10" s="6" t="s">
        <v>83</v>
      </c>
      <c r="D10" s="7"/>
    </row>
    <row r="11" spans="1:6" ht="30" customHeight="1" x14ac:dyDescent="0.2">
      <c r="A11" s="16" t="s">
        <v>107</v>
      </c>
      <c r="B11" s="7" t="s">
        <v>341</v>
      </c>
      <c r="C11" s="6" t="s">
        <v>83</v>
      </c>
      <c r="D11" s="7"/>
    </row>
    <row r="12" spans="1:6" ht="30" customHeight="1" x14ac:dyDescent="0.2">
      <c r="A12" s="17" t="s">
        <v>109</v>
      </c>
      <c r="B12" s="18" t="s">
        <v>342</v>
      </c>
      <c r="C12" s="19" t="s">
        <v>83</v>
      </c>
      <c r="D12" s="18"/>
    </row>
    <row r="13" spans="1:6" ht="16" x14ac:dyDescent="0.2">
      <c r="A13" s="2" t="s">
        <v>111</v>
      </c>
      <c r="B13" s="20">
        <f>COUNTIF(C6:C12,"✅ Done")/7</f>
        <v>0</v>
      </c>
      <c r="C13" s="30" t="str">
        <f>REPT("█",ROUND(B13*20,0))&amp;REPT("░",20-ROUND(B13*20,0))</f>
        <v>░░░░░░░░░░░░░░░░░░░░</v>
      </c>
      <c r="D13" s="24"/>
      <c r="E13" s="25" t="s">
        <v>343</v>
      </c>
      <c r="F13" s="24"/>
    </row>
  </sheetData>
  <mergeCells count="5">
    <mergeCell ref="A2:F2"/>
    <mergeCell ref="A1:F1"/>
    <mergeCell ref="E13:F13"/>
    <mergeCell ref="C13:D13"/>
    <mergeCell ref="A3:F3"/>
  </mergeCells>
  <conditionalFormatting sqref="C6:C12">
    <cfRule type="expression" dxfId="8" priority="1">
      <formula>$C6="✅ Done"</formula>
    </cfRule>
    <cfRule type="expression" dxfId="7" priority="2">
      <formula>$C6="▶ In progress"</formula>
    </cfRule>
    <cfRule type="expression" dxfId="6" priority="3">
      <formula>$C6="⏭ Skipped"</formula>
    </cfRule>
  </conditionalFormatting>
  <dataValidations count="1">
    <dataValidation type="list" allowBlank="1" errorTitle="Invalid status" error="Pick one of: ☐ Not started, ▶ In progress, ✅ Done, ⏭ Skipped" sqref="C6:C12" xr:uid="{00000000-0002-0000-1600-000000000000}">
      <formula1>"☐ Not started,▶ In progress,✅ Done,⏭ Skipped"</formula1>
    </dataValidation>
  </dataValidations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F13"/>
  <sheetViews>
    <sheetView workbookViewId="0">
      <pane ySplit="5" topLeftCell="A6" activePane="bottomLeft" state="frozen"/>
      <selection pane="bottomLeft"/>
    </sheetView>
  </sheetViews>
  <sheetFormatPr baseColWidth="10" defaultColWidth="8.83203125" defaultRowHeight="15" x14ac:dyDescent="0.2"/>
  <cols>
    <col min="1" max="1" width="12" customWidth="1"/>
    <col min="2" max="2" width="78" customWidth="1"/>
    <col min="3" max="3" width="18" customWidth="1"/>
    <col min="4" max="4" width="34" customWidth="1"/>
    <col min="5" max="6" width="40" customWidth="1"/>
  </cols>
  <sheetData>
    <row r="1" spans="1:6" ht="26" customHeight="1" x14ac:dyDescent="0.2">
      <c r="A1" s="29" t="s">
        <v>344</v>
      </c>
      <c r="B1" s="24"/>
      <c r="C1" s="24"/>
      <c r="D1" s="24"/>
      <c r="E1" s="24"/>
      <c r="F1" s="24"/>
    </row>
    <row r="2" spans="1:6" x14ac:dyDescent="0.2">
      <c r="A2" s="28" t="s">
        <v>345</v>
      </c>
      <c r="B2" s="24"/>
      <c r="C2" s="24"/>
      <c r="D2" s="24"/>
      <c r="E2" s="24"/>
      <c r="F2" s="24"/>
    </row>
    <row r="3" spans="1:6" x14ac:dyDescent="0.2">
      <c r="A3" s="31" t="s">
        <v>346</v>
      </c>
      <c r="B3" s="24"/>
      <c r="C3" s="24"/>
      <c r="D3" s="24"/>
      <c r="E3" s="24"/>
      <c r="F3" s="24"/>
    </row>
    <row r="5" spans="1:6" ht="16" x14ac:dyDescent="0.2">
      <c r="A5" s="5" t="s">
        <v>94</v>
      </c>
      <c r="B5" s="5" t="s">
        <v>95</v>
      </c>
      <c r="C5" s="5" t="s">
        <v>9</v>
      </c>
      <c r="D5" s="5" t="s">
        <v>96</v>
      </c>
    </row>
    <row r="6" spans="1:6" ht="30" customHeight="1" x14ac:dyDescent="0.2">
      <c r="A6" s="16" t="s">
        <v>97</v>
      </c>
      <c r="B6" s="7" t="s">
        <v>347</v>
      </c>
      <c r="C6" s="6" t="s">
        <v>83</v>
      </c>
      <c r="D6" s="7"/>
    </row>
    <row r="7" spans="1:6" ht="30" customHeight="1" x14ac:dyDescent="0.2">
      <c r="A7" s="16" t="s">
        <v>99</v>
      </c>
      <c r="B7" s="7" t="s">
        <v>348</v>
      </c>
      <c r="C7" s="6" t="s">
        <v>83</v>
      </c>
      <c r="D7" s="7"/>
    </row>
    <row r="8" spans="1:6" ht="30" customHeight="1" x14ac:dyDescent="0.2">
      <c r="A8" s="16" t="s">
        <v>101</v>
      </c>
      <c r="B8" s="7" t="s">
        <v>349</v>
      </c>
      <c r="C8" s="6" t="s">
        <v>83</v>
      </c>
      <c r="D8" s="7"/>
    </row>
    <row r="9" spans="1:6" ht="30" customHeight="1" x14ac:dyDescent="0.2">
      <c r="A9" s="16" t="s">
        <v>103</v>
      </c>
      <c r="B9" s="7" t="s">
        <v>350</v>
      </c>
      <c r="C9" s="6" t="s">
        <v>83</v>
      </c>
      <c r="D9" s="7"/>
    </row>
    <row r="10" spans="1:6" ht="30" customHeight="1" x14ac:dyDescent="0.2">
      <c r="A10" s="16" t="s">
        <v>105</v>
      </c>
      <c r="B10" s="7" t="s">
        <v>351</v>
      </c>
      <c r="C10" s="6" t="s">
        <v>83</v>
      </c>
      <c r="D10" s="7"/>
    </row>
    <row r="11" spans="1:6" ht="30" customHeight="1" x14ac:dyDescent="0.2">
      <c r="A11" s="16" t="s">
        <v>107</v>
      </c>
      <c r="B11" s="7" t="s">
        <v>352</v>
      </c>
      <c r="C11" s="6" t="s">
        <v>83</v>
      </c>
      <c r="D11" s="7"/>
    </row>
    <row r="12" spans="1:6" ht="30" customHeight="1" x14ac:dyDescent="0.2">
      <c r="A12" s="17" t="s">
        <v>109</v>
      </c>
      <c r="B12" s="18" t="s">
        <v>353</v>
      </c>
      <c r="C12" s="19" t="s">
        <v>83</v>
      </c>
      <c r="D12" s="18"/>
    </row>
    <row r="13" spans="1:6" ht="16" x14ac:dyDescent="0.2">
      <c r="A13" s="2" t="s">
        <v>111</v>
      </c>
      <c r="B13" s="20">
        <f>COUNTIF(C6:C12,"✅ Done")/7</f>
        <v>0</v>
      </c>
      <c r="C13" s="30" t="str">
        <f>REPT("█",ROUND(B13*20,0))&amp;REPT("░",20-ROUND(B13*20,0))</f>
        <v>░░░░░░░░░░░░░░░░░░░░</v>
      </c>
      <c r="D13" s="24"/>
      <c r="E13" s="25" t="s">
        <v>354</v>
      </c>
      <c r="F13" s="24"/>
    </row>
  </sheetData>
  <mergeCells count="5">
    <mergeCell ref="A2:F2"/>
    <mergeCell ref="A1:F1"/>
    <mergeCell ref="E13:F13"/>
    <mergeCell ref="C13:D13"/>
    <mergeCell ref="A3:F3"/>
  </mergeCells>
  <conditionalFormatting sqref="C6:C12">
    <cfRule type="expression" dxfId="5" priority="1">
      <formula>$C6="✅ Done"</formula>
    </cfRule>
    <cfRule type="expression" dxfId="4" priority="2">
      <formula>$C6="▶ In progress"</formula>
    </cfRule>
    <cfRule type="expression" dxfId="3" priority="3">
      <formula>$C6="⏭ Skipped"</formula>
    </cfRule>
  </conditionalFormatting>
  <dataValidations count="1">
    <dataValidation type="list" allowBlank="1" errorTitle="Invalid status" error="Pick one of: ☐ Not started, ▶ In progress, ✅ Done, ⏭ Skipped" sqref="C6:C12" xr:uid="{00000000-0002-0000-1700-000000000000}">
      <formula1>"☐ Not started,▶ In progress,✅ Done,⏭ Skipped"</formula1>
    </dataValidation>
  </dataValidations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F13"/>
  <sheetViews>
    <sheetView workbookViewId="0">
      <pane ySplit="5" topLeftCell="A6" activePane="bottomLeft" state="frozen"/>
      <selection pane="bottomLeft"/>
    </sheetView>
  </sheetViews>
  <sheetFormatPr baseColWidth="10" defaultColWidth="8.83203125" defaultRowHeight="15" x14ac:dyDescent="0.2"/>
  <cols>
    <col min="1" max="1" width="12" customWidth="1"/>
    <col min="2" max="2" width="78" customWidth="1"/>
    <col min="3" max="3" width="18" customWidth="1"/>
    <col min="4" max="4" width="34" customWidth="1"/>
    <col min="5" max="6" width="40" customWidth="1"/>
  </cols>
  <sheetData>
    <row r="1" spans="1:6" ht="26" customHeight="1" x14ac:dyDescent="0.2">
      <c r="A1" s="29" t="s">
        <v>355</v>
      </c>
      <c r="B1" s="24"/>
      <c r="C1" s="24"/>
      <c r="D1" s="24"/>
      <c r="E1" s="24"/>
      <c r="F1" s="24"/>
    </row>
    <row r="2" spans="1:6" x14ac:dyDescent="0.2">
      <c r="A2" s="28" t="s">
        <v>356</v>
      </c>
      <c r="B2" s="24"/>
      <c r="C2" s="24"/>
      <c r="D2" s="24"/>
      <c r="E2" s="24"/>
      <c r="F2" s="24"/>
    </row>
    <row r="3" spans="1:6" x14ac:dyDescent="0.2">
      <c r="A3" s="31" t="s">
        <v>357</v>
      </c>
      <c r="B3" s="24"/>
      <c r="C3" s="24"/>
      <c r="D3" s="24"/>
      <c r="E3" s="24"/>
      <c r="F3" s="24"/>
    </row>
    <row r="5" spans="1:6" ht="16" x14ac:dyDescent="0.2">
      <c r="A5" s="5" t="s">
        <v>94</v>
      </c>
      <c r="B5" s="5" t="s">
        <v>95</v>
      </c>
      <c r="C5" s="5" t="s">
        <v>9</v>
      </c>
      <c r="D5" s="5" t="s">
        <v>96</v>
      </c>
    </row>
    <row r="6" spans="1:6" ht="30" customHeight="1" x14ac:dyDescent="0.2">
      <c r="A6" s="16" t="s">
        <v>97</v>
      </c>
      <c r="B6" s="7" t="s">
        <v>358</v>
      </c>
      <c r="C6" s="6" t="s">
        <v>83</v>
      </c>
      <c r="D6" s="7"/>
    </row>
    <row r="7" spans="1:6" ht="30" customHeight="1" x14ac:dyDescent="0.2">
      <c r="A7" s="16" t="s">
        <v>99</v>
      </c>
      <c r="B7" s="7" t="s">
        <v>359</v>
      </c>
      <c r="C7" s="6" t="s">
        <v>83</v>
      </c>
      <c r="D7" s="7"/>
    </row>
    <row r="8" spans="1:6" ht="30" customHeight="1" x14ac:dyDescent="0.2">
      <c r="A8" s="16" t="s">
        <v>101</v>
      </c>
      <c r="B8" s="7" t="s">
        <v>360</v>
      </c>
      <c r="C8" s="6" t="s">
        <v>83</v>
      </c>
      <c r="D8" s="7"/>
    </row>
    <row r="9" spans="1:6" ht="30" customHeight="1" x14ac:dyDescent="0.2">
      <c r="A9" s="16" t="s">
        <v>103</v>
      </c>
      <c r="B9" s="7" t="s">
        <v>361</v>
      </c>
      <c r="C9" s="6" t="s">
        <v>83</v>
      </c>
      <c r="D9" s="7"/>
    </row>
    <row r="10" spans="1:6" ht="30" customHeight="1" x14ac:dyDescent="0.2">
      <c r="A10" s="16" t="s">
        <v>105</v>
      </c>
      <c r="B10" s="7" t="s">
        <v>362</v>
      </c>
      <c r="C10" s="6" t="s">
        <v>83</v>
      </c>
      <c r="D10" s="7"/>
    </row>
    <row r="11" spans="1:6" ht="30" customHeight="1" x14ac:dyDescent="0.2">
      <c r="A11" s="16" t="s">
        <v>107</v>
      </c>
      <c r="B11" s="7" t="s">
        <v>363</v>
      </c>
      <c r="C11" s="6" t="s">
        <v>83</v>
      </c>
      <c r="D11" s="7"/>
    </row>
    <row r="12" spans="1:6" ht="30" customHeight="1" x14ac:dyDescent="0.2">
      <c r="A12" s="17" t="s">
        <v>109</v>
      </c>
      <c r="B12" s="18" t="s">
        <v>364</v>
      </c>
      <c r="C12" s="19" t="s">
        <v>83</v>
      </c>
      <c r="D12" s="18"/>
    </row>
    <row r="13" spans="1:6" ht="16" x14ac:dyDescent="0.2">
      <c r="A13" s="2" t="s">
        <v>111</v>
      </c>
      <c r="B13" s="20">
        <f>COUNTIF(C6:C12,"✅ Done")/7</f>
        <v>0</v>
      </c>
      <c r="C13" s="30" t="str">
        <f>REPT("█",ROUND(B13*20,0))&amp;REPT("░",20-ROUND(B13*20,0))</f>
        <v>░░░░░░░░░░░░░░░░░░░░</v>
      </c>
      <c r="D13" s="24"/>
      <c r="E13" s="25" t="s">
        <v>365</v>
      </c>
      <c r="F13" s="24"/>
    </row>
  </sheetData>
  <mergeCells count="5">
    <mergeCell ref="A2:F2"/>
    <mergeCell ref="A1:F1"/>
    <mergeCell ref="E13:F13"/>
    <mergeCell ref="C13:D13"/>
    <mergeCell ref="A3:F3"/>
  </mergeCells>
  <conditionalFormatting sqref="C6:C12">
    <cfRule type="expression" dxfId="2" priority="1">
      <formula>$C6="✅ Done"</formula>
    </cfRule>
    <cfRule type="expression" dxfId="1" priority="2">
      <formula>$C6="▶ In progress"</formula>
    </cfRule>
    <cfRule type="expression" dxfId="0" priority="3">
      <formula>$C6="⏭ Skipped"</formula>
    </cfRule>
  </conditionalFormatting>
  <dataValidations count="1">
    <dataValidation type="list" allowBlank="1" errorTitle="Invalid status" error="Pick one of: ☐ Not started, ▶ In progress, ✅ Done, ⏭ Skipped" sqref="C6:C12" xr:uid="{00000000-0002-0000-1800-000000000000}">
      <formula1>"☐ Not started,▶ In progress,✅ Done,⏭ Skipped"</formula1>
    </dataValidation>
  </dataValidations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0F1B2D"/>
  </sheetPr>
  <dimension ref="A1:A20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110" customWidth="1"/>
  </cols>
  <sheetData>
    <row r="1" spans="1:1" ht="21" x14ac:dyDescent="0.25">
      <c r="A1" s="1" t="s">
        <v>366</v>
      </c>
    </row>
    <row r="2" spans="1:1" x14ac:dyDescent="0.2">
      <c r="A2" s="21" t="s">
        <v>367</v>
      </c>
    </row>
    <row r="3" spans="1:1" x14ac:dyDescent="0.2">
      <c r="A3" s="22"/>
    </row>
    <row r="4" spans="1:1" x14ac:dyDescent="0.2">
      <c r="A4" s="22" t="s">
        <v>368</v>
      </c>
    </row>
    <row r="5" spans="1:1" x14ac:dyDescent="0.2">
      <c r="A5" s="22" t="s">
        <v>369</v>
      </c>
    </row>
    <row r="6" spans="1:1" x14ac:dyDescent="0.2">
      <c r="A6" s="22" t="s">
        <v>370</v>
      </c>
    </row>
    <row r="7" spans="1:1" x14ac:dyDescent="0.2">
      <c r="A7" s="22" t="s">
        <v>371</v>
      </c>
    </row>
    <row r="8" spans="1:1" x14ac:dyDescent="0.2">
      <c r="A8" s="22" t="s">
        <v>372</v>
      </c>
    </row>
    <row r="9" spans="1:1" x14ac:dyDescent="0.2">
      <c r="A9" s="22" t="s">
        <v>373</v>
      </c>
    </row>
    <row r="10" spans="1:1" x14ac:dyDescent="0.2">
      <c r="A10" s="22" t="s">
        <v>374</v>
      </c>
    </row>
    <row r="11" spans="1:1" x14ac:dyDescent="0.2">
      <c r="A11" s="22"/>
    </row>
    <row r="12" spans="1:1" x14ac:dyDescent="0.2">
      <c r="A12" s="21" t="s">
        <v>375</v>
      </c>
    </row>
    <row r="13" spans="1:1" x14ac:dyDescent="0.2">
      <c r="A13" s="22" t="s">
        <v>376</v>
      </c>
    </row>
    <row r="14" spans="1:1" x14ac:dyDescent="0.2">
      <c r="A14" s="4" t="s">
        <v>377</v>
      </c>
    </row>
    <row r="15" spans="1:1" x14ac:dyDescent="0.2">
      <c r="A15" s="22"/>
    </row>
    <row r="16" spans="1:1" x14ac:dyDescent="0.2">
      <c r="A16" s="22" t="s">
        <v>378</v>
      </c>
    </row>
    <row r="17" spans="1:1" x14ac:dyDescent="0.2">
      <c r="A17" s="22" t="s">
        <v>379</v>
      </c>
    </row>
    <row r="18" spans="1:1" x14ac:dyDescent="0.2">
      <c r="A18" s="22" t="s">
        <v>380</v>
      </c>
    </row>
    <row r="19" spans="1:1" x14ac:dyDescent="0.2">
      <c r="A19" s="22"/>
    </row>
    <row r="20" spans="1:1" x14ac:dyDescent="0.2">
      <c r="A20" s="4" t="s">
        <v>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Dashboard</vt:lpstr>
      <vt:lpstr>Week 01</vt:lpstr>
      <vt:lpstr>Week 02</vt:lpstr>
      <vt:lpstr>Week 03</vt:lpstr>
      <vt:lpstr>Week 04</vt:lpstr>
      <vt:lpstr>Week 05</vt:lpstr>
      <vt:lpstr>Week 06</vt:lpstr>
      <vt:lpstr>Week 07</vt:lpstr>
      <vt:lpstr>Week 08</vt:lpstr>
      <vt:lpstr>Week 09</vt:lpstr>
      <vt:lpstr>Week 10</vt:lpstr>
      <vt:lpstr>Week 11</vt:lpstr>
      <vt:lpstr>Week 12</vt:lpstr>
      <vt:lpstr>Week 13</vt:lpstr>
      <vt:lpstr>Week 14</vt:lpstr>
      <vt:lpstr>Week 15</vt:lpstr>
      <vt:lpstr>Week 16</vt:lpstr>
      <vt:lpstr>Week 17</vt:lpstr>
      <vt:lpstr>Week 18</vt:lpstr>
      <vt:lpstr>Week 19</vt:lpstr>
      <vt:lpstr>Week 20</vt:lpstr>
      <vt:lpstr>Week 21</vt:lpstr>
      <vt:lpstr>Week 22</vt:lpstr>
      <vt:lpstr>Week 23</vt:lpstr>
      <vt:lpstr>Week 24</vt:lpstr>
      <vt:lpstr>About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Marko Stanković</cp:lastModifiedBy>
  <dcterms:created xsi:type="dcterms:W3CDTF">2026-08-17T19:22:41Z</dcterms:created>
  <dcterms:modified xsi:type="dcterms:W3CDTF">2026-09-27T10:24:10Z</dcterms:modified>
</cp:coreProperties>
</file>